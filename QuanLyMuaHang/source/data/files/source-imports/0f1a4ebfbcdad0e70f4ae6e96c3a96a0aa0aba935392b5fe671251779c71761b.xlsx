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duynguyen/Downloads/"/>
    </mc:Choice>
  </mc:AlternateContent>
  <xr:revisionPtr revIDLastSave="0" documentId="13_ncr:1_{7C6FAB8A-E26B-3240-B22B-83A3F35AB635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2026" sheetId="1" r:id="rId1"/>
  </sheets>
  <definedNames>
    <definedName name="_xlnm._FilterDatabase" localSheetId="0" hidden="1">'2026'!$A$4:$O$88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+zg8GXf/q/mMizAB1YCv/tLQRJcSTin1d/gOvOY9W04="/>
    </ext>
  </extLst>
</workbook>
</file>

<file path=xl/calcChain.xml><?xml version="1.0" encoding="utf-8"?>
<calcChain xmlns="http://schemas.openxmlformats.org/spreadsheetml/2006/main">
  <c r="E7" i="1" l="1"/>
  <c r="E10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000-000001000000}">
      <text>
        <r>
          <rPr>
            <sz val="10"/>
            <color theme="1"/>
            <rFont val="Arial"/>
            <scheme val="minor"/>
          </rPr>
          <t>======
ID#AAAB6_dPOvw
Phung Van Son    (2026-05-22 04:20:26)
Phung Van Son:Tu dong cap nhat khi co du lieu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HBgzt6FS9MPXiIh2zglw/LN51Q=="/>
    </ext>
  </extLst>
</comments>
</file>

<file path=xl/sharedStrings.xml><?xml version="1.0" encoding="utf-8"?>
<sst xmlns="http://schemas.openxmlformats.org/spreadsheetml/2006/main" count="671" uniqueCount="226">
  <si>
    <t>CÔNG TY CỔ PHẦN PHÂN BÓN &amp; HÓA CHẤT CẦN THƠ</t>
  </si>
  <si>
    <t>NGÀY CẤP</t>
  </si>
  <si>
    <t>PHIẾU CẤP VẬT TƯ PKT NĂM 2026</t>
  </si>
  <si>
    <t>SỐ PHIẾU</t>
  </si>
  <si>
    <t>STT</t>
  </si>
  <si>
    <t>TÊN VẬT TƯ</t>
  </si>
  <si>
    <t>QUI CÁCH</t>
  </si>
  <si>
    <t>ĐVT</t>
  </si>
  <si>
    <t>SỐ LƯỢNG</t>
  </si>
  <si>
    <t>MỤC ĐÍCH SỬ DỤNG</t>
  </si>
  <si>
    <t>Vị trí sử dụng</t>
  </si>
  <si>
    <t>CẤP THEO</t>
  </si>
  <si>
    <t>BP THI CÔNG</t>
  </si>
  <si>
    <t>KẾ HOẠCH</t>
  </si>
  <si>
    <t>NGÀY CẦN VT CHẬM NHẤT</t>
  </si>
  <si>
    <t>GHI CHÚ</t>
  </si>
  <si>
    <t>XD</t>
  </si>
  <si>
    <t>TB</t>
  </si>
  <si>
    <t>Cái</t>
  </si>
  <si>
    <t>F3</t>
  </si>
  <si>
    <t>ĐN</t>
  </si>
  <si>
    <t>XCĐ</t>
  </si>
  <si>
    <t>SCTX</t>
  </si>
  <si>
    <t>cái</t>
  </si>
  <si>
    <t>m</t>
  </si>
  <si>
    <t xml:space="preserve">cái </t>
  </si>
  <si>
    <t>van</t>
  </si>
  <si>
    <t>Thay van nhựa cân javel X.NTR</t>
  </si>
  <si>
    <t>CTR</t>
  </si>
  <si>
    <t>Dự phòng sửa chữa thường xuyên</t>
  </si>
  <si>
    <t>BT</t>
  </si>
  <si>
    <t>Cây</t>
  </si>
  <si>
    <t>Phục vụ thi công</t>
  </si>
  <si>
    <t>dụng cụ</t>
  </si>
  <si>
    <t>Nhớt 140</t>
  </si>
  <si>
    <t>Lít</t>
  </si>
  <si>
    <t>ĐC</t>
  </si>
  <si>
    <t>VP</t>
  </si>
  <si>
    <t>Chai</t>
  </si>
  <si>
    <t>trả phiếu</t>
  </si>
  <si>
    <t>theo mẫu</t>
  </si>
  <si>
    <t>cây</t>
  </si>
  <si>
    <t>m2</t>
  </si>
  <si>
    <t>BG</t>
  </si>
  <si>
    <t>Mét</t>
  </si>
  <si>
    <t>Kg</t>
  </si>
  <si>
    <t>6m/cây</t>
  </si>
  <si>
    <t>điện</t>
  </si>
  <si>
    <t>lít</t>
  </si>
  <si>
    <t>Phục vụ vệ sinh động cơ</t>
  </si>
  <si>
    <t>cần gấp</t>
  </si>
  <si>
    <t xml:space="preserve">Cái </t>
  </si>
  <si>
    <t>Que hàn Inox Þ3,2</t>
  </si>
  <si>
    <t>thùng</t>
  </si>
  <si>
    <t>SCL</t>
  </si>
  <si>
    <t>Que hàn Þ4</t>
  </si>
  <si>
    <t>F4</t>
  </si>
  <si>
    <t>PCCC</t>
  </si>
  <si>
    <t xml:space="preserve">theo mẫu </t>
  </si>
  <si>
    <t>Silicol A300</t>
  </si>
  <si>
    <t>Thay thế máy khoan pin XCĐ</t>
  </si>
  <si>
    <t>bình</t>
  </si>
  <si>
    <t>Xích hai dãy (Xích 60)</t>
  </si>
  <si>
    <t>t=19,05 - B35,5</t>
  </si>
  <si>
    <t xml:space="preserve">Bộ </t>
  </si>
  <si>
    <t>NVS</t>
  </si>
  <si>
    <t xml:space="preserve">Mét </t>
  </si>
  <si>
    <t>theo bản vẽ</t>
  </si>
  <si>
    <t>kho 1</t>
  </si>
  <si>
    <t>Châm nhớt bảo dưỡng vành lăn vành răng X.PB</t>
  </si>
  <si>
    <t>ATVSLĐ</t>
  </si>
  <si>
    <t>Dây xích máy nghiền xích</t>
  </si>
  <si>
    <t>sợi</t>
  </si>
  <si>
    <t>Ống ruột gà Þ25 màu trắng</t>
  </si>
  <si>
    <t xml:space="preserve">dây </t>
  </si>
  <si>
    <t xml:space="preserve">cây </t>
  </si>
  <si>
    <t xml:space="preserve">bộ </t>
  </si>
  <si>
    <t xml:space="preserve">Phục vụ thi công </t>
  </si>
  <si>
    <t xml:space="preserve">Dự phòng sửa chữa thường xuyên </t>
  </si>
  <si>
    <t>F1,F3</t>
  </si>
  <si>
    <t>ĐTXD</t>
  </si>
  <si>
    <t>15x1366 mm</t>
  </si>
  <si>
    <t>Nhớt thu hồi</t>
  </si>
  <si>
    <t>Phục vụ sửa chữa</t>
  </si>
  <si>
    <t>Cuồn</t>
  </si>
  <si>
    <t>Panasonic WEV5001SW</t>
  </si>
  <si>
    <t>vòng miệng</t>
  </si>
  <si>
    <t xml:space="preserve">cặp </t>
  </si>
  <si>
    <t xml:space="preserve">con </t>
  </si>
  <si>
    <t>F1,F3,F4</t>
  </si>
  <si>
    <t>Sửa chữa buồng lắng hệ sấy F3</t>
  </si>
  <si>
    <t>Bình chữa cháy MFZ8 8kg</t>
  </si>
  <si>
    <t>Phục vụ phòng cháy chữa cháy</t>
  </si>
  <si>
    <t xml:space="preserve">Bơm dầu lò đốt </t>
  </si>
  <si>
    <t>E7 NC10697P</t>
  </si>
  <si>
    <t>Dự phòng bơm dầu lò đốt X.BG</t>
  </si>
  <si>
    <t xml:space="preserve">Dự phòng thay thế nghiền xích các xưởng </t>
  </si>
  <si>
    <t>Sơn chống thấm màu DULUX AQUATECH FLEX W759</t>
  </si>
  <si>
    <t>Xám Nhạt (mã màu: 70620)
18 lít/thùng</t>
  </si>
  <si>
    <t>Van chân béc</t>
  </si>
  <si>
    <t>Dự phòng van chân béc lò đốt X.BG</t>
  </si>
  <si>
    <t>Dự phòng đánh lửa lò đốt X.BG</t>
  </si>
  <si>
    <t>Dự phòng cặp van NO,NC lò đốt X.BG</t>
  </si>
  <si>
    <t>Dự phòng bộ đánh lửa lò đốt X.BG</t>
  </si>
  <si>
    <t xml:space="preserve">Than máy mài tay </t>
  </si>
  <si>
    <t xml:space="preserve">Thay thế máy mài XCD </t>
  </si>
  <si>
    <t xml:space="preserve">Lõi lọc sợi quấn </t>
  </si>
  <si>
    <t>Lõi lọc xếp nếp</t>
  </si>
  <si>
    <t xml:space="preserve">Bánh xe nâng tay </t>
  </si>
  <si>
    <t>PU 80x70, không kèm vòng bi</t>
  </si>
  <si>
    <t>bánh</t>
  </si>
  <si>
    <t>Thay bánh xe sau xe nâng tay X.BG+NTR</t>
  </si>
  <si>
    <t>Bàn chải sắt Tolsen 32060</t>
  </si>
  <si>
    <t>Đầu kẹp máy khoan pin M13</t>
  </si>
  <si>
    <t xml:space="preserve">Phốt bích lổ 35- 10 </t>
  </si>
  <si>
    <t>Thay thế phốt HGT 7.5kw</t>
  </si>
  <si>
    <t xml:space="preserve">Thay thế phốt bơm nước hệ phun F3  </t>
  </si>
  <si>
    <t>Kìm bấm chết Truper (250mm)</t>
  </si>
  <si>
    <t>Bộ lục giác thường</t>
  </si>
  <si>
    <t>Từ 1.5mm đến 10mm</t>
  </si>
  <si>
    <t>Amiang tấm 2mm</t>
  </si>
  <si>
    <t xml:space="preserve">1m2 /1 tấm </t>
  </si>
  <si>
    <t>Amiang tấm 3mm</t>
  </si>
  <si>
    <t xml:space="preserve">Tấm cao su chịu Axit Dày 2mm </t>
  </si>
  <si>
    <t xml:space="preserve">
Khổ 1mx1m </t>
  </si>
  <si>
    <t xml:space="preserve">Tấm </t>
  </si>
  <si>
    <t>Bộ nối đuôi chuột SH20 + PH20 (Đuôi chuột 8mm)</t>
  </si>
  <si>
    <t xml:space="preserve">Đồng thau </t>
  </si>
  <si>
    <t xml:space="preserve">Dây cảm biến nhiệt độ </t>
  </si>
  <si>
    <t xml:space="preserve">loại K, 2 đầu dây, M6 </t>
  </si>
  <si>
    <t>Dự phòng cảm biến nhiệt độ X.BG+X.NTR</t>
  </si>
  <si>
    <t>loại K, 2 đầu dây, M8</t>
  </si>
  <si>
    <t>Dự phòng cảm biến nhiệt độ máy tđ 800g X.BG</t>
  </si>
  <si>
    <t>Dự phòng dây điện máy may bao bì X.PB</t>
  </si>
  <si>
    <t xml:space="preserve">Rơ le bán dẫn SSR </t>
  </si>
  <si>
    <t>SSR-25DA, input: 3-32VDC, output: 24-380VAC</t>
  </si>
  <si>
    <t>Phích cắm và Ổ cắm lắp nổi 4P 16A MPN2-114 MPE IP44 (Cố định bắt tường)</t>
  </si>
  <si>
    <t xml:space="preserve">3 pha 4 chấu 16A
Panasonic </t>
  </si>
  <si>
    <t>Phục vụ lắp tại XCĐ</t>
  </si>
  <si>
    <t xml:space="preserve">Cầu chì ống sứ </t>
  </si>
  <si>
    <t xml:space="preserve">loại 30A </t>
  </si>
  <si>
    <t>Dự phòng máy từ động 20g X.NTR</t>
  </si>
  <si>
    <t>Thiết bị đo nhiệt hồng ngoại (Camera nhiệt )</t>
  </si>
  <si>
    <t>Uni-T UTi712S</t>
  </si>
  <si>
    <t>Dây điện CXV 4x4mm</t>
  </si>
  <si>
    <t>Cadivi CXV 4x4mm</t>
  </si>
  <si>
    <t>Dự phòng thay thế dây điện động lực động cơ băng tải</t>
  </si>
  <si>
    <t>Lắp đường điện thử nghiệm giám sát thiết bị khu đóng bao phân bón NPK tập trung</t>
  </si>
  <si>
    <t>Ổ cấm đơn có màn che</t>
  </si>
  <si>
    <t>Panasonic WEV1081-7SW</t>
  </si>
  <si>
    <t>Công tắc đơn 1 chiều</t>
  </si>
  <si>
    <t xml:space="preserve">Ống luồng dây điện PVC </t>
  </si>
  <si>
    <t>PVC trắng Ø21</t>
  </si>
  <si>
    <t>Nối ống PVC</t>
  </si>
  <si>
    <t>Co ống PVC</t>
  </si>
  <si>
    <t>Băng keo điện 20Y Nano</t>
  </si>
  <si>
    <t xml:space="preserve">Vòi nước nhựa tay gạt Ø21 </t>
  </si>
  <si>
    <t xml:space="preserve">Dự phòng thay thế nhà vệ sinh tập trung </t>
  </si>
  <si>
    <t>Van nhựa bình minh Þ21</t>
  </si>
  <si>
    <t>TANAKA</t>
  </si>
  <si>
    <t>Đồng hồ nhiệt độ omron</t>
  </si>
  <si>
    <t>omron E5CSL-QTC</t>
  </si>
  <si>
    <t>Dự phòng đồng hồ nhiệt độ máy dán túi X.NTR</t>
  </si>
  <si>
    <t>omron E5CSL-RTC</t>
  </si>
  <si>
    <t>Dự phòng đồng hồ nhiệt độ máy dán túi X.BG</t>
  </si>
  <si>
    <t xml:space="preserve">Vòng bi 30206J </t>
  </si>
  <si>
    <t>Thay thế bơm thành phẩm CTR</t>
  </si>
  <si>
    <t xml:space="preserve">Vòng bi 30208J </t>
  </si>
  <si>
    <t>Vòng bi 6211zz</t>
  </si>
  <si>
    <t>Vòng bi 6312zz</t>
  </si>
  <si>
    <t>Dự phòng sửa chữa động cơ 30Kw</t>
  </si>
  <si>
    <t xml:space="preserve">Vòng bi 6321 </t>
  </si>
  <si>
    <t xml:space="preserve">Thay thế HGT 30Kw </t>
  </si>
  <si>
    <t>Vòng bi 32311J2</t>
  </si>
  <si>
    <t xml:space="preserve">Thay thế HGT Bơm cao áp BG </t>
  </si>
  <si>
    <t>Đồng hồ oxy YAMATO SANGYO THÂN THAU B-YRT01</t>
  </si>
  <si>
    <t xml:space="preserve">Đá mài Ø125mm </t>
  </si>
  <si>
    <t>Thép ống Ø168x5</t>
  </si>
  <si>
    <t>Kim đánh lửa</t>
  </si>
  <si>
    <t xml:space="preserve">Nút cao su </t>
  </si>
  <si>
    <t>cục</t>
  </si>
  <si>
    <t>Thay máy siết nắp chai X.NTR</t>
  </si>
  <si>
    <t>Dây teflon vải nhiệt</t>
  </si>
  <si>
    <t>Thay máy dán túi X.BG+X.NTR</t>
  </si>
  <si>
    <t>Đèn led âm trần CRI 95</t>
  </si>
  <si>
    <t>Vivid 9W D AT09L 76/9W (D=70mm)</t>
  </si>
  <si>
    <t>Lắp tủ theo dõi màu thành phẩm X.PB</t>
  </si>
  <si>
    <t>Thép V40x3 đen</t>
  </si>
  <si>
    <t>Thép V30x3 Mạ kẽm</t>
  </si>
  <si>
    <t>Thép la 30x3</t>
  </si>
  <si>
    <t>3m/thanh</t>
  </si>
  <si>
    <t>Co nhựa chữ Y Þ168/Þ114</t>
  </si>
  <si>
    <t>Co nhựa lơi Þ114</t>
  </si>
  <si>
    <t>Co nhựa lơi Þ168</t>
  </si>
  <si>
    <t>Chuyển nhựa Þ168/Þ114</t>
  </si>
  <si>
    <t>Van nhựa Þ114</t>
  </si>
  <si>
    <t>Ống nhựa Þ168</t>
  </si>
  <si>
    <t>Ống nhựa Þ114</t>
  </si>
  <si>
    <t>Đường kính trong Þ168</t>
  </si>
  <si>
    <t>Đường kính trong Þ114</t>
  </si>
  <si>
    <t>Ống nhựa gân Þ168 dày 5mm</t>
  </si>
  <si>
    <t>Ống nhựa gân Þ114 dày 4mm</t>
  </si>
  <si>
    <t>Lưỡi cắt bê tông Ø125mm Makita D-71021</t>
  </si>
  <si>
    <t>Xử lí bụi bunke thành phẩm F3 (kho 1)</t>
  </si>
  <si>
    <t>Gia công vít đôi tải liệu xưởng F3</t>
  </si>
  <si>
    <t>Van điện từ</t>
  </si>
  <si>
    <t>Biến áp đánh lửa</t>
  </si>
  <si>
    <t>Chổi nhựa cầm tay quét bụi</t>
  </si>
  <si>
    <t>Dự phòng lõi lọc nước trước RO X.NTR</t>
  </si>
  <si>
    <t>Dự phòng lõi lọc nước sau RO X.NTR</t>
  </si>
  <si>
    <t xml:space="preserve">Kìm cắt </t>
  </si>
  <si>
    <t>Total</t>
  </si>
  <si>
    <t xml:space="preserve">Phốt bơm chịu axit chịu nhiệt 30x42 dày 45mm </t>
  </si>
  <si>
    <t>Bộ lục giác sao (hoa thị)</t>
  </si>
  <si>
    <t>Cờ lê 24</t>
  </si>
  <si>
    <t>Cờ lê 19</t>
  </si>
  <si>
    <t>Cờ lê 17</t>
  </si>
  <si>
    <t>Cờ lê 13</t>
  </si>
  <si>
    <t>Cờ lê 10</t>
  </si>
  <si>
    <t>Cờ lê 8</t>
  </si>
  <si>
    <t xml:space="preserve">2 x 2.5 mm2, loại dây dẹp </t>
  </si>
  <si>
    <t>Dây điện CADIVI dẹp, 2x2.5 mm2</t>
  </si>
  <si>
    <t>Dự phòng rơ le bán dẫn máy tự động X.BG+X.NTR</t>
  </si>
  <si>
    <t>Phục vụ luồng dây điện</t>
  </si>
  <si>
    <t>MCB 2P-30A</t>
  </si>
  <si>
    <t>A9N61534 30A 500VDC 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</si>
</sst>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[$-F800]dddd\,\ mmmm\ dd\,\ yyyy"/>
    <numFmt numFmtId="166" formatCode="[$-1010000]d/m/yyyy"/>
  </numFmts>
  <fonts count="16" x14ac:knownFonts="1">
    <font>
      <sz val="10"/>
      <color theme="1"/>
      <name val="Arial"/>
      <scheme val="minor"/>
    </font>
    <font>
      <b/>
      <sz val="12"/>
      <color theme="1"/>
      <name val="Times New Roman"/>
    </font>
    <font>
      <sz val="10"/>
      <color theme="1"/>
      <name val="Arial"/>
    </font>
    <font>
      <sz val="12"/>
      <color theme="1"/>
      <name val="Times New Roman"/>
    </font>
    <font>
      <b/>
      <u/>
      <sz val="12"/>
      <color theme="1"/>
      <name val="Times New Roman"/>
    </font>
    <font>
      <sz val="15"/>
      <color theme="1"/>
      <name val="Times New Roman"/>
    </font>
    <font>
      <b/>
      <i/>
      <sz val="12"/>
      <color theme="1"/>
      <name val="Times New Roman"/>
    </font>
    <font>
      <sz val="13"/>
      <color theme="1"/>
      <name val="Times New Roman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rgb="FFFF0000"/>
      <name val="Times New Roman"/>
      <family val="1"/>
    </font>
    <font>
      <sz val="12"/>
      <color rgb="FFFF0000"/>
      <name val="Arial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textRotation="90" wrapText="1"/>
    </xf>
    <xf numFmtId="164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 textRotation="90"/>
    </xf>
    <xf numFmtId="0" fontId="2" fillId="0" borderId="5" xfId="0" applyFont="1" applyBorder="1"/>
    <xf numFmtId="0" fontId="1" fillId="0" borderId="3" xfId="0" applyFont="1" applyBorder="1" applyAlignment="1">
      <alignment horizontal="center" vertical="center" textRotation="90" wrapText="1"/>
    </xf>
    <xf numFmtId="164" fontId="6" fillId="0" borderId="6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textRotation="90" wrapText="1"/>
    </xf>
    <xf numFmtId="49" fontId="1" fillId="0" borderId="3" xfId="0" applyNumberFormat="1" applyFont="1" applyBorder="1" applyAlignment="1">
      <alignment horizontal="center" vertical="center" textRotation="90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164" fontId="1" fillId="0" borderId="3" xfId="0" applyNumberFormat="1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3" fontId="7" fillId="2" borderId="9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3" fontId="7" fillId="2" borderId="10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8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8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wrapText="1"/>
    </xf>
    <xf numFmtId="0" fontId="12" fillId="0" borderId="5" xfId="0" applyFont="1" applyBorder="1" applyAlignment="1">
      <alignment horizontal="center" vertical="center"/>
    </xf>
    <xf numFmtId="0" fontId="8" fillId="0" borderId="12" xfId="0" applyFont="1" applyBorder="1"/>
    <xf numFmtId="0" fontId="8" fillId="0" borderId="12" xfId="0" applyFont="1" applyBorder="1" applyAlignment="1">
      <alignment horizontal="center"/>
    </xf>
    <xf numFmtId="0" fontId="8" fillId="0" borderId="0" xfId="0" applyFont="1"/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109"/>
  <sheetViews>
    <sheetView tabSelected="1" zoomScaleNormal="100" workbookViewId="0">
      <selection activeCell="C7" sqref="C7"/>
    </sheetView>
  </sheetViews>
  <sheetFormatPr baseColWidth="10" defaultColWidth="12.5" defaultRowHeight="15" customHeight="1" x14ac:dyDescent="0.15"/>
  <cols>
    <col min="1" max="1" width="6.1640625" customWidth="1"/>
    <col min="2" max="2" width="42.1640625" customWidth="1"/>
    <col min="3" max="3" width="34.1640625" customWidth="1"/>
    <col min="4" max="4" width="9.6640625" customWidth="1"/>
    <col min="5" max="5" width="8.1640625" customWidth="1"/>
    <col min="6" max="6" width="50.33203125" customWidth="1"/>
    <col min="7" max="7" width="8.33203125" customWidth="1"/>
    <col min="8" max="8" width="11.6640625" customWidth="1"/>
    <col min="9" max="9" width="4.33203125" customWidth="1"/>
    <col min="10" max="10" width="10.33203125" customWidth="1"/>
    <col min="11" max="11" width="10" customWidth="1"/>
    <col min="12" max="12" width="13.33203125" customWidth="1"/>
    <col min="13" max="13" width="11" customWidth="1"/>
    <col min="14" max="14" width="13.5" customWidth="1"/>
    <col min="15" max="15" width="8" customWidth="1"/>
  </cols>
  <sheetData>
    <row r="1" spans="1:48" ht="15.75" customHeight="1" x14ac:dyDescent="0.15">
      <c r="A1" s="1" t="s">
        <v>0</v>
      </c>
      <c r="B1" s="2"/>
      <c r="C1" s="3"/>
      <c r="D1" s="4"/>
      <c r="E1" s="5"/>
      <c r="F1" s="6"/>
      <c r="G1" s="7"/>
      <c r="H1" s="7"/>
      <c r="I1" s="8"/>
      <c r="J1" s="9"/>
      <c r="K1" s="9"/>
      <c r="L1" s="10"/>
      <c r="M1" s="11"/>
      <c r="N1" s="10"/>
      <c r="O1" s="12"/>
    </row>
    <row r="2" spans="1:48" ht="15.75" customHeight="1" x14ac:dyDescent="0.2">
      <c r="A2" s="13">
        <v>2</v>
      </c>
      <c r="B2" s="2"/>
      <c r="C2" s="3"/>
      <c r="D2" s="5"/>
      <c r="E2" s="14"/>
      <c r="F2" s="6"/>
      <c r="G2" s="15" t="s">
        <v>1</v>
      </c>
      <c r="H2" s="16">
        <f ca="1">NOW()</f>
        <v>46307.850964467594</v>
      </c>
      <c r="I2" s="8"/>
      <c r="J2" s="8"/>
      <c r="K2" s="8"/>
      <c r="L2" s="17"/>
      <c r="M2" s="8"/>
      <c r="N2" s="10"/>
      <c r="O2" s="12"/>
    </row>
    <row r="3" spans="1:48" ht="39" customHeight="1" x14ac:dyDescent="0.2">
      <c r="A3" s="8"/>
      <c r="B3" s="18"/>
      <c r="C3" s="19" t="s">
        <v>2</v>
      </c>
      <c r="D3" s="20"/>
      <c r="E3" s="20"/>
      <c r="F3" s="20"/>
      <c r="G3" s="15" t="s">
        <v>3</v>
      </c>
      <c r="H3" s="8">
        <v>40</v>
      </c>
      <c r="I3" s="21"/>
      <c r="J3" s="21"/>
      <c r="K3" s="21"/>
      <c r="L3" s="17"/>
      <c r="M3" s="8"/>
      <c r="N3" s="10"/>
      <c r="O3" s="12"/>
    </row>
    <row r="4" spans="1:48" ht="87" x14ac:dyDescent="0.15">
      <c r="A4" s="22" t="s">
        <v>4</v>
      </c>
      <c r="B4" s="23" t="s">
        <v>5</v>
      </c>
      <c r="C4" s="24" t="s">
        <v>6</v>
      </c>
      <c r="D4" s="25" t="s">
        <v>7</v>
      </c>
      <c r="E4" s="14" t="s">
        <v>8</v>
      </c>
      <c r="F4" s="26" t="s">
        <v>9</v>
      </c>
      <c r="G4" s="27" t="s">
        <v>10</v>
      </c>
      <c r="H4" s="28"/>
      <c r="I4" s="29" t="s">
        <v>11</v>
      </c>
      <c r="J4" s="29" t="s">
        <v>12</v>
      </c>
      <c r="K4" s="29" t="s">
        <v>13</v>
      </c>
      <c r="L4" s="30" t="s">
        <v>14</v>
      </c>
      <c r="M4" s="31" t="s">
        <v>15</v>
      </c>
      <c r="N4" s="32" t="s">
        <v>1</v>
      </c>
      <c r="O4" s="33" t="s">
        <v>3</v>
      </c>
    </row>
    <row r="5" spans="1:48" ht="25" x14ac:dyDescent="0.2">
      <c r="A5" s="34"/>
      <c r="B5" s="35"/>
      <c r="C5" s="5"/>
      <c r="D5" s="5"/>
      <c r="E5" s="36"/>
      <c r="F5" s="37"/>
      <c r="G5" s="38" t="s">
        <v>16</v>
      </c>
      <c r="H5" s="39" t="s">
        <v>17</v>
      </c>
      <c r="I5" s="29"/>
      <c r="J5" s="29"/>
      <c r="K5" s="29"/>
      <c r="L5" s="30"/>
      <c r="M5" s="31"/>
      <c r="N5" s="40"/>
      <c r="O5" s="33"/>
    </row>
    <row r="6" spans="1:48" s="73" customFormat="1" ht="15.75" customHeight="1" x14ac:dyDescent="0.2">
      <c r="A6" s="65" t="e">
        <f>+#REF!+1</f>
        <v>#REF!</v>
      </c>
      <c r="B6" s="66" t="s">
        <v>177</v>
      </c>
      <c r="C6" s="65" t="s">
        <v>46</v>
      </c>
      <c r="D6" s="65" t="s">
        <v>41</v>
      </c>
      <c r="E6" s="67">
        <v>1</v>
      </c>
      <c r="F6" s="68" t="s">
        <v>204</v>
      </c>
      <c r="G6" s="65"/>
      <c r="H6" s="65" t="s">
        <v>19</v>
      </c>
      <c r="I6" s="69" t="s">
        <v>20</v>
      </c>
      <c r="J6" s="65" t="s">
        <v>21</v>
      </c>
      <c r="K6" s="65" t="s">
        <v>22</v>
      </c>
      <c r="L6" s="70">
        <v>46305</v>
      </c>
      <c r="M6" s="71" t="s">
        <v>39</v>
      </c>
      <c r="N6" s="70">
        <v>46295</v>
      </c>
      <c r="O6" s="71">
        <v>40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</row>
    <row r="7" spans="1:48" s="73" customFormat="1" ht="15.75" customHeight="1" x14ac:dyDescent="0.2">
      <c r="A7" s="65" t="e">
        <f t="shared" ref="A7:A8" si="0">+A6+1</f>
        <v>#REF!</v>
      </c>
      <c r="B7" s="66" t="s">
        <v>187</v>
      </c>
      <c r="C7" s="65" t="s">
        <v>46</v>
      </c>
      <c r="D7" s="65" t="s">
        <v>24</v>
      </c>
      <c r="E7" s="67">
        <f>20*6</f>
        <v>120</v>
      </c>
      <c r="F7" s="66" t="s">
        <v>83</v>
      </c>
      <c r="G7" s="65"/>
      <c r="H7" s="65" t="s">
        <v>89</v>
      </c>
      <c r="I7" s="69" t="s">
        <v>20</v>
      </c>
      <c r="J7" s="65" t="s">
        <v>21</v>
      </c>
      <c r="K7" s="65" t="s">
        <v>22</v>
      </c>
      <c r="L7" s="70">
        <v>46305</v>
      </c>
      <c r="M7" s="71"/>
      <c r="N7" s="70">
        <v>46295</v>
      </c>
      <c r="O7" s="71">
        <v>40</v>
      </c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</row>
    <row r="8" spans="1:48" s="101" customFormat="1" ht="15.75" customHeight="1" x14ac:dyDescent="0.2">
      <c r="A8" s="65" t="e">
        <f t="shared" si="0"/>
        <v>#REF!</v>
      </c>
      <c r="B8" s="99" t="s">
        <v>187</v>
      </c>
      <c r="C8" s="65" t="s">
        <v>46</v>
      </c>
      <c r="D8" s="65" t="s">
        <v>24</v>
      </c>
      <c r="E8" s="100">
        <v>48</v>
      </c>
      <c r="F8" s="66" t="s">
        <v>203</v>
      </c>
      <c r="G8" s="65"/>
      <c r="H8" s="65" t="s">
        <v>68</v>
      </c>
      <c r="I8" s="69" t="s">
        <v>20</v>
      </c>
      <c r="J8" s="65" t="s">
        <v>21</v>
      </c>
      <c r="K8" s="65" t="s">
        <v>54</v>
      </c>
      <c r="L8" s="70">
        <v>46305</v>
      </c>
      <c r="M8" s="71" t="s">
        <v>50</v>
      </c>
      <c r="N8" s="70">
        <v>46295</v>
      </c>
      <c r="O8" s="71">
        <v>40</v>
      </c>
    </row>
    <row r="9" spans="1:48" s="101" customFormat="1" ht="15.75" customHeight="1" x14ac:dyDescent="0.2">
      <c r="A9" s="65" t="e">
        <f t="shared" ref="A9:A72" si="1">+A8+1</f>
        <v>#REF!</v>
      </c>
      <c r="B9" s="99" t="s">
        <v>188</v>
      </c>
      <c r="C9" s="65" t="s">
        <v>46</v>
      </c>
      <c r="D9" s="65" t="s">
        <v>24</v>
      </c>
      <c r="E9" s="100">
        <v>48</v>
      </c>
      <c r="F9" s="66" t="s">
        <v>203</v>
      </c>
      <c r="G9" s="65"/>
      <c r="H9" s="65" t="s">
        <v>68</v>
      </c>
      <c r="I9" s="69" t="s">
        <v>20</v>
      </c>
      <c r="J9" s="65" t="s">
        <v>21</v>
      </c>
      <c r="K9" s="65" t="s">
        <v>54</v>
      </c>
      <c r="L9" s="70">
        <v>46305</v>
      </c>
      <c r="M9" s="71" t="s">
        <v>50</v>
      </c>
      <c r="N9" s="70">
        <v>46295</v>
      </c>
      <c r="O9" s="71">
        <v>40</v>
      </c>
    </row>
    <row r="10" spans="1:48" s="101" customFormat="1" ht="15.75" customHeight="1" x14ac:dyDescent="0.2">
      <c r="A10" s="65" t="e">
        <f t="shared" si="1"/>
        <v>#REF!</v>
      </c>
      <c r="B10" s="99" t="s">
        <v>189</v>
      </c>
      <c r="C10" s="65" t="s">
        <v>190</v>
      </c>
      <c r="D10" s="65" t="s">
        <v>24</v>
      </c>
      <c r="E10" s="100">
        <f>3*15</f>
        <v>45</v>
      </c>
      <c r="F10" s="66" t="s">
        <v>203</v>
      </c>
      <c r="G10" s="65"/>
      <c r="H10" s="65" t="s">
        <v>68</v>
      </c>
      <c r="I10" s="69" t="s">
        <v>20</v>
      </c>
      <c r="J10" s="65" t="s">
        <v>21</v>
      </c>
      <c r="K10" s="65" t="s">
        <v>54</v>
      </c>
      <c r="L10" s="70">
        <v>46305</v>
      </c>
      <c r="M10" s="71" t="s">
        <v>50</v>
      </c>
      <c r="N10" s="70">
        <v>46295</v>
      </c>
      <c r="O10" s="71">
        <v>40</v>
      </c>
    </row>
    <row r="11" spans="1:48" s="101" customFormat="1" ht="15.75" customHeight="1" x14ac:dyDescent="0.2">
      <c r="A11" s="65" t="e">
        <f t="shared" si="1"/>
        <v>#REF!</v>
      </c>
      <c r="B11" s="99" t="s">
        <v>191</v>
      </c>
      <c r="C11" s="99"/>
      <c r="D11" s="100" t="s">
        <v>18</v>
      </c>
      <c r="E11" s="100">
        <v>3</v>
      </c>
      <c r="F11" s="66" t="s">
        <v>203</v>
      </c>
      <c r="G11" s="65"/>
      <c r="H11" s="65" t="s">
        <v>68</v>
      </c>
      <c r="I11" s="69" t="s">
        <v>20</v>
      </c>
      <c r="J11" s="65" t="s">
        <v>21</v>
      </c>
      <c r="K11" s="65" t="s">
        <v>54</v>
      </c>
      <c r="L11" s="70">
        <v>46305</v>
      </c>
      <c r="M11" s="71" t="s">
        <v>50</v>
      </c>
      <c r="N11" s="70">
        <v>46295</v>
      </c>
      <c r="O11" s="71">
        <v>40</v>
      </c>
    </row>
    <row r="12" spans="1:48" s="101" customFormat="1" ht="15.75" customHeight="1" x14ac:dyDescent="0.2">
      <c r="A12" s="65" t="e">
        <f t="shared" si="1"/>
        <v>#REF!</v>
      </c>
      <c r="B12" s="99" t="s">
        <v>192</v>
      </c>
      <c r="C12" s="99"/>
      <c r="D12" s="100" t="s">
        <v>18</v>
      </c>
      <c r="E12" s="100">
        <v>10</v>
      </c>
      <c r="F12" s="66" t="s">
        <v>203</v>
      </c>
      <c r="G12" s="65"/>
      <c r="H12" s="65" t="s">
        <v>68</v>
      </c>
      <c r="I12" s="69" t="s">
        <v>20</v>
      </c>
      <c r="J12" s="65" t="s">
        <v>21</v>
      </c>
      <c r="K12" s="65" t="s">
        <v>54</v>
      </c>
      <c r="L12" s="70">
        <v>46305</v>
      </c>
      <c r="M12" s="71" t="s">
        <v>50</v>
      </c>
      <c r="N12" s="70">
        <v>46295</v>
      </c>
      <c r="O12" s="71">
        <v>40</v>
      </c>
    </row>
    <row r="13" spans="1:48" s="101" customFormat="1" ht="15.75" customHeight="1" x14ac:dyDescent="0.2">
      <c r="A13" s="65" t="e">
        <f t="shared" si="1"/>
        <v>#REF!</v>
      </c>
      <c r="B13" s="99" t="s">
        <v>193</v>
      </c>
      <c r="C13" s="99"/>
      <c r="D13" s="100" t="s">
        <v>18</v>
      </c>
      <c r="E13" s="100">
        <v>3</v>
      </c>
      <c r="F13" s="66" t="s">
        <v>203</v>
      </c>
      <c r="G13" s="65"/>
      <c r="H13" s="65" t="s">
        <v>68</v>
      </c>
      <c r="I13" s="69" t="s">
        <v>20</v>
      </c>
      <c r="J13" s="65" t="s">
        <v>21</v>
      </c>
      <c r="K13" s="65" t="s">
        <v>54</v>
      </c>
      <c r="L13" s="70">
        <v>46305</v>
      </c>
      <c r="M13" s="71" t="s">
        <v>50</v>
      </c>
      <c r="N13" s="70">
        <v>46295</v>
      </c>
      <c r="O13" s="71">
        <v>40</v>
      </c>
    </row>
    <row r="14" spans="1:48" s="101" customFormat="1" ht="15.75" customHeight="1" x14ac:dyDescent="0.2">
      <c r="A14" s="65" t="e">
        <f t="shared" si="1"/>
        <v>#REF!</v>
      </c>
      <c r="B14" s="99" t="s">
        <v>194</v>
      </c>
      <c r="C14" s="99"/>
      <c r="D14" s="100" t="s">
        <v>18</v>
      </c>
      <c r="E14" s="100">
        <v>1</v>
      </c>
      <c r="F14" s="66" t="s">
        <v>203</v>
      </c>
      <c r="G14" s="65"/>
      <c r="H14" s="65" t="s">
        <v>68</v>
      </c>
      <c r="I14" s="69" t="s">
        <v>20</v>
      </c>
      <c r="J14" s="65" t="s">
        <v>21</v>
      </c>
      <c r="K14" s="65" t="s">
        <v>54</v>
      </c>
      <c r="L14" s="70">
        <v>46305</v>
      </c>
      <c r="M14" s="71" t="s">
        <v>50</v>
      </c>
      <c r="N14" s="70">
        <v>46295</v>
      </c>
      <c r="O14" s="71">
        <v>40</v>
      </c>
    </row>
    <row r="15" spans="1:48" s="101" customFormat="1" ht="15.75" customHeight="1" x14ac:dyDescent="0.2">
      <c r="A15" s="65" t="e">
        <f t="shared" si="1"/>
        <v>#REF!</v>
      </c>
      <c r="B15" s="99" t="s">
        <v>195</v>
      </c>
      <c r="C15" s="99"/>
      <c r="D15" s="100" t="s">
        <v>18</v>
      </c>
      <c r="E15" s="100">
        <v>3</v>
      </c>
      <c r="F15" s="66" t="s">
        <v>203</v>
      </c>
      <c r="G15" s="65"/>
      <c r="H15" s="65" t="s">
        <v>68</v>
      </c>
      <c r="I15" s="69" t="s">
        <v>20</v>
      </c>
      <c r="J15" s="65" t="s">
        <v>21</v>
      </c>
      <c r="K15" s="65" t="s">
        <v>54</v>
      </c>
      <c r="L15" s="70">
        <v>46305</v>
      </c>
      <c r="M15" s="71" t="s">
        <v>50</v>
      </c>
      <c r="N15" s="70">
        <v>46295</v>
      </c>
      <c r="O15" s="71">
        <v>40</v>
      </c>
    </row>
    <row r="16" spans="1:48" s="101" customFormat="1" ht="15.75" customHeight="1" x14ac:dyDescent="0.2">
      <c r="A16" s="65" t="e">
        <f t="shared" si="1"/>
        <v>#REF!</v>
      </c>
      <c r="B16" s="99" t="s">
        <v>196</v>
      </c>
      <c r="C16" s="99"/>
      <c r="D16" s="100" t="s">
        <v>24</v>
      </c>
      <c r="E16" s="100">
        <v>4</v>
      </c>
      <c r="F16" s="66" t="s">
        <v>203</v>
      </c>
      <c r="G16" s="65"/>
      <c r="H16" s="65" t="s">
        <v>68</v>
      </c>
      <c r="I16" s="69" t="s">
        <v>20</v>
      </c>
      <c r="J16" s="65" t="s">
        <v>21</v>
      </c>
      <c r="K16" s="65" t="s">
        <v>54</v>
      </c>
      <c r="L16" s="70">
        <v>46305</v>
      </c>
      <c r="M16" s="71" t="s">
        <v>50</v>
      </c>
      <c r="N16" s="70">
        <v>46295</v>
      </c>
      <c r="O16" s="71">
        <v>40</v>
      </c>
    </row>
    <row r="17" spans="1:48" s="101" customFormat="1" ht="15.75" customHeight="1" x14ac:dyDescent="0.2">
      <c r="A17" s="65" t="e">
        <f t="shared" si="1"/>
        <v>#REF!</v>
      </c>
      <c r="B17" s="99" t="s">
        <v>197</v>
      </c>
      <c r="C17" s="99"/>
      <c r="D17" s="100" t="s">
        <v>24</v>
      </c>
      <c r="E17" s="100">
        <v>4</v>
      </c>
      <c r="F17" s="66" t="s">
        <v>203</v>
      </c>
      <c r="G17" s="65"/>
      <c r="H17" s="65" t="s">
        <v>68</v>
      </c>
      <c r="I17" s="69" t="s">
        <v>20</v>
      </c>
      <c r="J17" s="65" t="s">
        <v>21</v>
      </c>
      <c r="K17" s="65" t="s">
        <v>54</v>
      </c>
      <c r="L17" s="70">
        <v>46305</v>
      </c>
      <c r="M17" s="71" t="s">
        <v>50</v>
      </c>
      <c r="N17" s="70">
        <v>46295</v>
      </c>
      <c r="O17" s="71">
        <v>40</v>
      </c>
    </row>
    <row r="18" spans="1:48" s="101" customFormat="1" ht="15.75" customHeight="1" x14ac:dyDescent="0.2">
      <c r="A18" s="65" t="e">
        <f t="shared" si="1"/>
        <v>#REF!</v>
      </c>
      <c r="B18" s="99" t="s">
        <v>200</v>
      </c>
      <c r="C18" s="100" t="s">
        <v>198</v>
      </c>
      <c r="D18" s="100" t="s">
        <v>24</v>
      </c>
      <c r="E18" s="100">
        <v>10</v>
      </c>
      <c r="F18" s="66" t="s">
        <v>203</v>
      </c>
      <c r="G18" s="65"/>
      <c r="H18" s="65" t="s">
        <v>68</v>
      </c>
      <c r="I18" s="69" t="s">
        <v>20</v>
      </c>
      <c r="J18" s="65" t="s">
        <v>21</v>
      </c>
      <c r="K18" s="65" t="s">
        <v>54</v>
      </c>
      <c r="L18" s="70">
        <v>46305</v>
      </c>
      <c r="M18" s="71" t="s">
        <v>50</v>
      </c>
      <c r="N18" s="70">
        <v>46295</v>
      </c>
      <c r="O18" s="71">
        <v>40</v>
      </c>
    </row>
    <row r="19" spans="1:48" s="101" customFormat="1" ht="15.75" customHeight="1" x14ac:dyDescent="0.2">
      <c r="A19" s="65" t="e">
        <f t="shared" si="1"/>
        <v>#REF!</v>
      </c>
      <c r="B19" s="99" t="s">
        <v>201</v>
      </c>
      <c r="C19" s="100" t="s">
        <v>199</v>
      </c>
      <c r="D19" s="100" t="s">
        <v>24</v>
      </c>
      <c r="E19" s="100">
        <v>18</v>
      </c>
      <c r="F19" s="66" t="s">
        <v>203</v>
      </c>
      <c r="G19" s="65"/>
      <c r="H19" s="65" t="s">
        <v>68</v>
      </c>
      <c r="I19" s="69" t="s">
        <v>20</v>
      </c>
      <c r="J19" s="65" t="s">
        <v>21</v>
      </c>
      <c r="K19" s="65" t="s">
        <v>54</v>
      </c>
      <c r="L19" s="70">
        <v>46305</v>
      </c>
      <c r="M19" s="71" t="s">
        <v>50</v>
      </c>
      <c r="N19" s="70">
        <v>46295</v>
      </c>
      <c r="O19" s="71">
        <v>40</v>
      </c>
    </row>
    <row r="20" spans="1:48" s="73" customFormat="1" ht="15.75" customHeight="1" x14ac:dyDescent="0.2">
      <c r="A20" s="65" t="e">
        <f t="shared" si="1"/>
        <v>#REF!</v>
      </c>
      <c r="B20" s="66" t="s">
        <v>91</v>
      </c>
      <c r="C20" s="65"/>
      <c r="D20" s="65" t="s">
        <v>61</v>
      </c>
      <c r="E20" s="67">
        <v>30</v>
      </c>
      <c r="F20" s="68" t="s">
        <v>92</v>
      </c>
      <c r="G20" s="65"/>
      <c r="H20" s="65" t="s">
        <v>57</v>
      </c>
      <c r="I20" s="69" t="s">
        <v>20</v>
      </c>
      <c r="J20" s="65" t="s">
        <v>21</v>
      </c>
      <c r="K20" s="65" t="s">
        <v>70</v>
      </c>
      <c r="L20" s="70">
        <v>46305</v>
      </c>
      <c r="M20" s="71"/>
      <c r="N20" s="70">
        <v>46295</v>
      </c>
      <c r="O20" s="71">
        <v>40</v>
      </c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</row>
    <row r="21" spans="1:48" s="73" customFormat="1" ht="17" x14ac:dyDescent="0.2">
      <c r="A21" s="65" t="e">
        <f t="shared" si="1"/>
        <v>#REF!</v>
      </c>
      <c r="B21" s="74" t="s">
        <v>93</v>
      </c>
      <c r="C21" s="75" t="s">
        <v>94</v>
      </c>
      <c r="D21" s="75" t="s">
        <v>23</v>
      </c>
      <c r="E21" s="75">
        <v>2</v>
      </c>
      <c r="F21" s="74" t="s">
        <v>95</v>
      </c>
      <c r="G21" s="76"/>
      <c r="H21" s="75" t="s">
        <v>43</v>
      </c>
      <c r="I21" s="69" t="s">
        <v>20</v>
      </c>
      <c r="J21" s="65" t="s">
        <v>21</v>
      </c>
      <c r="K21" s="65" t="s">
        <v>22</v>
      </c>
      <c r="L21" s="70">
        <v>46305</v>
      </c>
      <c r="M21" s="71"/>
      <c r="N21" s="70">
        <v>46295</v>
      </c>
      <c r="O21" s="71">
        <v>40</v>
      </c>
    </row>
    <row r="22" spans="1:48" s="73" customFormat="1" ht="17" x14ac:dyDescent="0.2">
      <c r="A22" s="65" t="e">
        <f t="shared" si="1"/>
        <v>#REF!</v>
      </c>
      <c r="B22" s="77" t="s">
        <v>71</v>
      </c>
      <c r="C22" s="65" t="s">
        <v>67</v>
      </c>
      <c r="D22" s="78" t="s">
        <v>72</v>
      </c>
      <c r="E22" s="78">
        <v>78</v>
      </c>
      <c r="F22" s="66" t="s">
        <v>96</v>
      </c>
      <c r="G22" s="79"/>
      <c r="H22" s="78" t="s">
        <v>79</v>
      </c>
      <c r="I22" s="69" t="s">
        <v>20</v>
      </c>
      <c r="J22" s="65" t="s">
        <v>21</v>
      </c>
      <c r="K22" s="65" t="s">
        <v>22</v>
      </c>
      <c r="L22" s="70">
        <v>46305</v>
      </c>
      <c r="M22" s="71"/>
      <c r="N22" s="70">
        <v>46295</v>
      </c>
      <c r="O22" s="71">
        <v>40</v>
      </c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</row>
    <row r="23" spans="1:48" s="73" customFormat="1" ht="34" x14ac:dyDescent="0.2">
      <c r="A23" s="65" t="e">
        <f t="shared" si="1"/>
        <v>#REF!</v>
      </c>
      <c r="B23" s="80" t="s">
        <v>97</v>
      </c>
      <c r="C23" s="81" t="s">
        <v>98</v>
      </c>
      <c r="D23" s="81" t="s">
        <v>53</v>
      </c>
      <c r="E23" s="82">
        <v>2</v>
      </c>
      <c r="F23" s="66" t="s">
        <v>90</v>
      </c>
      <c r="G23" s="65" t="s">
        <v>19</v>
      </c>
      <c r="H23" s="78"/>
      <c r="I23" s="69" t="s">
        <v>20</v>
      </c>
      <c r="J23" s="65" t="s">
        <v>21</v>
      </c>
      <c r="K23" s="109" t="s">
        <v>54</v>
      </c>
      <c r="L23" s="70">
        <v>46305</v>
      </c>
      <c r="M23" s="71" t="s">
        <v>50</v>
      </c>
      <c r="N23" s="70">
        <v>46295</v>
      </c>
      <c r="O23" s="71">
        <v>40</v>
      </c>
    </row>
    <row r="24" spans="1:48" s="73" customFormat="1" ht="17" x14ac:dyDescent="0.2">
      <c r="A24" s="65" t="e">
        <f t="shared" si="1"/>
        <v>#REF!</v>
      </c>
      <c r="B24" s="106" t="s">
        <v>182</v>
      </c>
      <c r="C24" s="107" t="s">
        <v>81</v>
      </c>
      <c r="D24" s="81" t="s">
        <v>72</v>
      </c>
      <c r="E24" s="82">
        <v>100</v>
      </c>
      <c r="F24" s="106" t="s">
        <v>183</v>
      </c>
      <c r="G24" s="106"/>
      <c r="H24" s="107" t="s">
        <v>28</v>
      </c>
      <c r="I24" s="69" t="s">
        <v>20</v>
      </c>
      <c r="J24" s="65" t="s">
        <v>21</v>
      </c>
      <c r="K24" s="65" t="s">
        <v>22</v>
      </c>
      <c r="L24" s="70">
        <v>46305</v>
      </c>
      <c r="M24" s="71"/>
      <c r="N24" s="70">
        <v>46295</v>
      </c>
      <c r="O24" s="71">
        <v>40</v>
      </c>
    </row>
    <row r="25" spans="1:48" s="73" customFormat="1" ht="17" x14ac:dyDescent="0.2">
      <c r="A25" s="65" t="e">
        <f t="shared" si="1"/>
        <v>#REF!</v>
      </c>
      <c r="B25" s="106" t="s">
        <v>179</v>
      </c>
      <c r="C25" s="78" t="s">
        <v>40</v>
      </c>
      <c r="D25" s="81" t="s">
        <v>180</v>
      </c>
      <c r="E25" s="82">
        <v>50</v>
      </c>
      <c r="F25" s="106" t="s">
        <v>181</v>
      </c>
      <c r="G25" s="106"/>
      <c r="H25" s="107" t="s">
        <v>28</v>
      </c>
      <c r="I25" s="69" t="s">
        <v>20</v>
      </c>
      <c r="J25" s="65" t="s">
        <v>21</v>
      </c>
      <c r="K25" s="65" t="s">
        <v>22</v>
      </c>
      <c r="L25" s="70">
        <v>46305</v>
      </c>
      <c r="M25" s="71"/>
      <c r="N25" s="70">
        <v>46295</v>
      </c>
      <c r="O25" s="71">
        <v>40</v>
      </c>
    </row>
    <row r="26" spans="1:48" s="73" customFormat="1" ht="17" x14ac:dyDescent="0.2">
      <c r="A26" s="65" t="e">
        <f t="shared" si="1"/>
        <v>#REF!</v>
      </c>
      <c r="B26" s="77" t="s">
        <v>99</v>
      </c>
      <c r="C26" s="78" t="s">
        <v>40</v>
      </c>
      <c r="D26" s="78" t="s">
        <v>87</v>
      </c>
      <c r="E26" s="78">
        <v>1</v>
      </c>
      <c r="F26" s="77" t="s">
        <v>100</v>
      </c>
      <c r="G26" s="65"/>
      <c r="H26" s="78" t="s">
        <v>43</v>
      </c>
      <c r="I26" s="69" t="s">
        <v>20</v>
      </c>
      <c r="J26" s="65" t="s">
        <v>21</v>
      </c>
      <c r="K26" s="65" t="s">
        <v>22</v>
      </c>
      <c r="L26" s="70">
        <v>46305</v>
      </c>
      <c r="M26" s="71"/>
      <c r="N26" s="70">
        <v>46295</v>
      </c>
      <c r="O26" s="71">
        <v>40</v>
      </c>
    </row>
    <row r="27" spans="1:48" s="73" customFormat="1" ht="17" x14ac:dyDescent="0.2">
      <c r="A27" s="65" t="e">
        <f t="shared" si="1"/>
        <v>#REF!</v>
      </c>
      <c r="B27" s="77" t="s">
        <v>178</v>
      </c>
      <c r="C27" s="78" t="s">
        <v>40</v>
      </c>
      <c r="D27" s="78" t="s">
        <v>87</v>
      </c>
      <c r="E27" s="78">
        <v>1</v>
      </c>
      <c r="F27" s="77" t="s">
        <v>101</v>
      </c>
      <c r="G27" s="65"/>
      <c r="H27" s="78" t="s">
        <v>43</v>
      </c>
      <c r="I27" s="69" t="s">
        <v>20</v>
      </c>
      <c r="J27" s="65" t="s">
        <v>21</v>
      </c>
      <c r="K27" s="65" t="s">
        <v>22</v>
      </c>
      <c r="L27" s="70">
        <v>46305</v>
      </c>
      <c r="M27" s="71"/>
      <c r="N27" s="70">
        <v>46295</v>
      </c>
      <c r="O27" s="71">
        <v>40</v>
      </c>
    </row>
    <row r="28" spans="1:48" s="73" customFormat="1" ht="17" x14ac:dyDescent="0.2">
      <c r="A28" s="65" t="e">
        <f t="shared" si="1"/>
        <v>#REF!</v>
      </c>
      <c r="B28" s="77" t="s">
        <v>205</v>
      </c>
      <c r="C28" s="78" t="s">
        <v>40</v>
      </c>
      <c r="D28" s="78" t="s">
        <v>87</v>
      </c>
      <c r="E28" s="78">
        <v>1</v>
      </c>
      <c r="F28" s="77" t="s">
        <v>102</v>
      </c>
      <c r="G28" s="65"/>
      <c r="H28" s="78" t="s">
        <v>43</v>
      </c>
      <c r="I28" s="69" t="s">
        <v>20</v>
      </c>
      <c r="J28" s="65" t="s">
        <v>21</v>
      </c>
      <c r="K28" s="65" t="s">
        <v>22</v>
      </c>
      <c r="L28" s="70">
        <v>46305</v>
      </c>
      <c r="M28" s="71"/>
      <c r="N28" s="70">
        <v>46295</v>
      </c>
      <c r="O28" s="71">
        <v>40</v>
      </c>
    </row>
    <row r="29" spans="1:48" s="73" customFormat="1" ht="17" x14ac:dyDescent="0.2">
      <c r="A29" s="65" t="e">
        <f t="shared" si="1"/>
        <v>#REF!</v>
      </c>
      <c r="B29" s="77" t="s">
        <v>206</v>
      </c>
      <c r="C29" s="83" t="s">
        <v>40</v>
      </c>
      <c r="D29" s="78" t="s">
        <v>76</v>
      </c>
      <c r="E29" s="78">
        <v>1</v>
      </c>
      <c r="F29" s="66" t="s">
        <v>103</v>
      </c>
      <c r="G29" s="65"/>
      <c r="H29" s="78" t="s">
        <v>43</v>
      </c>
      <c r="I29" s="69" t="s">
        <v>20</v>
      </c>
      <c r="J29" s="65" t="s">
        <v>21</v>
      </c>
      <c r="K29" s="65" t="s">
        <v>22</v>
      </c>
      <c r="L29" s="70">
        <v>46305</v>
      </c>
      <c r="M29" s="71"/>
      <c r="N29" s="70">
        <v>46295</v>
      </c>
      <c r="O29" s="71">
        <v>40</v>
      </c>
    </row>
    <row r="30" spans="1:48" s="73" customFormat="1" ht="17" x14ac:dyDescent="0.2">
      <c r="A30" s="65" t="e">
        <f t="shared" si="1"/>
        <v>#REF!</v>
      </c>
      <c r="B30" s="77" t="s">
        <v>104</v>
      </c>
      <c r="C30" s="78" t="s">
        <v>58</v>
      </c>
      <c r="D30" s="78" t="s">
        <v>64</v>
      </c>
      <c r="E30" s="78">
        <v>2</v>
      </c>
      <c r="F30" s="77" t="s">
        <v>105</v>
      </c>
      <c r="G30" s="79"/>
      <c r="H30" s="78" t="s">
        <v>21</v>
      </c>
      <c r="I30" s="69" t="s">
        <v>20</v>
      </c>
      <c r="J30" s="65" t="s">
        <v>21</v>
      </c>
      <c r="K30" s="65" t="s">
        <v>22</v>
      </c>
      <c r="L30" s="70">
        <v>46305</v>
      </c>
      <c r="M30" s="71"/>
      <c r="N30" s="70">
        <v>46295</v>
      </c>
      <c r="O30" s="71">
        <v>40</v>
      </c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</row>
    <row r="31" spans="1:48" s="73" customFormat="1" ht="17" x14ac:dyDescent="0.2">
      <c r="A31" s="65" t="e">
        <f t="shared" si="1"/>
        <v>#REF!</v>
      </c>
      <c r="B31" s="77" t="s">
        <v>207</v>
      </c>
      <c r="C31" s="78" t="s">
        <v>40</v>
      </c>
      <c r="D31" s="84" t="s">
        <v>31</v>
      </c>
      <c r="E31" s="84">
        <v>10</v>
      </c>
      <c r="F31" s="85" t="s">
        <v>49</v>
      </c>
      <c r="G31" s="79"/>
      <c r="H31" s="78" t="s">
        <v>36</v>
      </c>
      <c r="I31" s="69" t="s">
        <v>20</v>
      </c>
      <c r="J31" s="65" t="s">
        <v>21</v>
      </c>
      <c r="K31" s="65" t="s">
        <v>22</v>
      </c>
      <c r="L31" s="70">
        <v>46305</v>
      </c>
      <c r="M31" s="71"/>
      <c r="N31" s="70">
        <v>46295</v>
      </c>
      <c r="O31" s="71">
        <v>40</v>
      </c>
    </row>
    <row r="32" spans="1:48" s="73" customFormat="1" ht="17" x14ac:dyDescent="0.2">
      <c r="A32" s="65" t="e">
        <f t="shared" si="1"/>
        <v>#REF!</v>
      </c>
      <c r="B32" s="77" t="s">
        <v>106</v>
      </c>
      <c r="C32" s="78" t="s">
        <v>40</v>
      </c>
      <c r="D32" s="78" t="s">
        <v>75</v>
      </c>
      <c r="E32" s="78">
        <v>14</v>
      </c>
      <c r="F32" s="77" t="s">
        <v>208</v>
      </c>
      <c r="G32" s="79"/>
      <c r="H32" s="78" t="s">
        <v>28</v>
      </c>
      <c r="I32" s="69" t="s">
        <v>20</v>
      </c>
      <c r="J32" s="65" t="s">
        <v>21</v>
      </c>
      <c r="K32" s="65" t="s">
        <v>22</v>
      </c>
      <c r="L32" s="70">
        <v>46305</v>
      </c>
      <c r="M32" s="71"/>
      <c r="N32" s="70">
        <v>46295</v>
      </c>
      <c r="O32" s="71">
        <v>40</v>
      </c>
    </row>
    <row r="33" spans="1:36" s="73" customFormat="1" ht="17" x14ac:dyDescent="0.2">
      <c r="A33" s="65" t="e">
        <f t="shared" si="1"/>
        <v>#REF!</v>
      </c>
      <c r="B33" s="77" t="s">
        <v>107</v>
      </c>
      <c r="C33" s="78" t="s">
        <v>40</v>
      </c>
      <c r="D33" s="78" t="s">
        <v>75</v>
      </c>
      <c r="E33" s="78">
        <v>6</v>
      </c>
      <c r="F33" s="77" t="s">
        <v>209</v>
      </c>
      <c r="G33" s="79"/>
      <c r="H33" s="78" t="s">
        <v>28</v>
      </c>
      <c r="I33" s="69" t="s">
        <v>20</v>
      </c>
      <c r="J33" s="65" t="s">
        <v>21</v>
      </c>
      <c r="K33" s="65" t="s">
        <v>22</v>
      </c>
      <c r="L33" s="70">
        <v>46305</v>
      </c>
      <c r="M33" s="71"/>
      <c r="N33" s="70">
        <v>46295</v>
      </c>
      <c r="O33" s="71">
        <v>40</v>
      </c>
    </row>
    <row r="34" spans="1:36" s="73" customFormat="1" ht="17" x14ac:dyDescent="0.2">
      <c r="A34" s="65" t="e">
        <f t="shared" si="1"/>
        <v>#REF!</v>
      </c>
      <c r="B34" s="102" t="s">
        <v>62</v>
      </c>
      <c r="C34" s="103" t="s">
        <v>63</v>
      </c>
      <c r="D34" s="104" t="s">
        <v>24</v>
      </c>
      <c r="E34" s="104">
        <v>30</v>
      </c>
      <c r="F34" s="105" t="s">
        <v>29</v>
      </c>
      <c r="G34" s="79"/>
      <c r="H34" s="78" t="s">
        <v>79</v>
      </c>
      <c r="I34" s="69" t="s">
        <v>20</v>
      </c>
      <c r="J34" s="65" t="s">
        <v>21</v>
      </c>
      <c r="K34" s="65" t="s">
        <v>22</v>
      </c>
      <c r="L34" s="70">
        <v>46305</v>
      </c>
      <c r="M34" s="71"/>
      <c r="N34" s="70">
        <v>46295</v>
      </c>
      <c r="O34" s="71">
        <v>40</v>
      </c>
    </row>
    <row r="35" spans="1:36" s="73" customFormat="1" ht="17" x14ac:dyDescent="0.2">
      <c r="A35" s="65" t="e">
        <f t="shared" si="1"/>
        <v>#REF!</v>
      </c>
      <c r="B35" s="77" t="s">
        <v>108</v>
      </c>
      <c r="C35" s="78" t="s">
        <v>109</v>
      </c>
      <c r="D35" s="78" t="s">
        <v>110</v>
      </c>
      <c r="E35" s="78">
        <v>10</v>
      </c>
      <c r="F35" s="77" t="s">
        <v>111</v>
      </c>
      <c r="G35" s="79"/>
      <c r="H35" s="78" t="s">
        <v>28</v>
      </c>
      <c r="I35" s="69" t="s">
        <v>20</v>
      </c>
      <c r="J35" s="65" t="s">
        <v>21</v>
      </c>
      <c r="K35" s="65" t="s">
        <v>22</v>
      </c>
      <c r="L35" s="70">
        <v>46305</v>
      </c>
      <c r="M35" s="71"/>
      <c r="N35" s="70">
        <v>46295</v>
      </c>
      <c r="O35" s="71">
        <v>40</v>
      </c>
    </row>
    <row r="36" spans="1:36" s="73" customFormat="1" ht="17" x14ac:dyDescent="0.2">
      <c r="A36" s="65" t="e">
        <f t="shared" si="1"/>
        <v>#REF!</v>
      </c>
      <c r="B36" s="87" t="s">
        <v>176</v>
      </c>
      <c r="C36" s="87"/>
      <c r="D36" s="84" t="s">
        <v>51</v>
      </c>
      <c r="E36" s="84">
        <v>10</v>
      </c>
      <c r="F36" s="87" t="s">
        <v>77</v>
      </c>
      <c r="G36" s="79"/>
      <c r="H36" s="78" t="s">
        <v>56</v>
      </c>
      <c r="I36" s="69" t="s">
        <v>20</v>
      </c>
      <c r="J36" s="65" t="s">
        <v>21</v>
      </c>
      <c r="K36" s="65" t="s">
        <v>22</v>
      </c>
      <c r="L36" s="70">
        <v>46305</v>
      </c>
      <c r="M36" s="71"/>
      <c r="N36" s="70">
        <v>46295</v>
      </c>
      <c r="O36" s="71">
        <v>40</v>
      </c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</row>
    <row r="37" spans="1:36" s="73" customFormat="1" ht="17" x14ac:dyDescent="0.2">
      <c r="A37" s="65" t="e">
        <f t="shared" si="1"/>
        <v>#REF!</v>
      </c>
      <c r="B37" s="86" t="s">
        <v>112</v>
      </c>
      <c r="C37" s="87"/>
      <c r="D37" s="84" t="s">
        <v>31</v>
      </c>
      <c r="E37" s="84">
        <v>10</v>
      </c>
      <c r="F37" s="85" t="s">
        <v>49</v>
      </c>
      <c r="G37" s="65"/>
      <c r="H37" s="65" t="s">
        <v>79</v>
      </c>
      <c r="I37" s="69" t="s">
        <v>20</v>
      </c>
      <c r="J37" s="65" t="s">
        <v>21</v>
      </c>
      <c r="K37" s="65" t="s">
        <v>22</v>
      </c>
      <c r="L37" s="70">
        <v>46305</v>
      </c>
      <c r="M37" s="71"/>
      <c r="N37" s="70">
        <v>46295</v>
      </c>
      <c r="O37" s="71">
        <v>40</v>
      </c>
    </row>
    <row r="38" spans="1:36" s="73" customFormat="1" ht="17" x14ac:dyDescent="0.2">
      <c r="A38" s="65" t="e">
        <f t="shared" si="1"/>
        <v>#REF!</v>
      </c>
      <c r="B38" s="87" t="s">
        <v>202</v>
      </c>
      <c r="C38" s="87"/>
      <c r="D38" s="84" t="s">
        <v>51</v>
      </c>
      <c r="E38" s="84">
        <v>2</v>
      </c>
      <c r="F38" s="87" t="s">
        <v>77</v>
      </c>
      <c r="G38" s="79" t="s">
        <v>37</v>
      </c>
      <c r="H38" s="78"/>
      <c r="I38" s="69" t="s">
        <v>20</v>
      </c>
      <c r="J38" s="65" t="s">
        <v>21</v>
      </c>
      <c r="K38" s="65" t="s">
        <v>22</v>
      </c>
      <c r="L38" s="70">
        <v>46305</v>
      </c>
      <c r="M38" s="71"/>
      <c r="N38" s="70">
        <v>46295</v>
      </c>
      <c r="O38" s="71">
        <v>40</v>
      </c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</row>
    <row r="39" spans="1:36" s="73" customFormat="1" ht="17" x14ac:dyDescent="0.2">
      <c r="A39" s="65" t="e">
        <f t="shared" si="1"/>
        <v>#REF!</v>
      </c>
      <c r="B39" s="88" t="s">
        <v>210</v>
      </c>
      <c r="C39" s="89" t="s">
        <v>211</v>
      </c>
      <c r="D39" s="84" t="s">
        <v>31</v>
      </c>
      <c r="E39" s="89">
        <v>5</v>
      </c>
      <c r="F39" s="87" t="s">
        <v>32</v>
      </c>
      <c r="G39" s="79"/>
      <c r="H39" s="78" t="s">
        <v>21</v>
      </c>
      <c r="I39" s="69" t="s">
        <v>20</v>
      </c>
      <c r="J39" s="65" t="s">
        <v>21</v>
      </c>
      <c r="K39" s="65" t="s">
        <v>22</v>
      </c>
      <c r="L39" s="70">
        <v>46305</v>
      </c>
      <c r="M39" s="71"/>
      <c r="N39" s="70">
        <v>46295</v>
      </c>
      <c r="O39" s="71">
        <v>40</v>
      </c>
    </row>
    <row r="40" spans="1:36" s="73" customFormat="1" ht="17" x14ac:dyDescent="0.2">
      <c r="A40" s="65" t="e">
        <f t="shared" si="1"/>
        <v>#REF!</v>
      </c>
      <c r="B40" s="87" t="s">
        <v>59</v>
      </c>
      <c r="C40" s="87"/>
      <c r="D40" s="84" t="s">
        <v>38</v>
      </c>
      <c r="E40" s="84">
        <v>10</v>
      </c>
      <c r="F40" s="87" t="s">
        <v>29</v>
      </c>
      <c r="G40" s="79" t="s">
        <v>37</v>
      </c>
      <c r="H40" s="78"/>
      <c r="I40" s="69" t="s">
        <v>20</v>
      </c>
      <c r="J40" s="65" t="s">
        <v>21</v>
      </c>
      <c r="K40" s="65" t="s">
        <v>22</v>
      </c>
      <c r="L40" s="70">
        <v>46305</v>
      </c>
      <c r="M40" s="71"/>
      <c r="N40" s="70">
        <v>46295</v>
      </c>
      <c r="O40" s="71">
        <v>40</v>
      </c>
    </row>
    <row r="41" spans="1:36" s="73" customFormat="1" ht="17" x14ac:dyDescent="0.2">
      <c r="A41" s="65" t="e">
        <f t="shared" si="1"/>
        <v>#REF!</v>
      </c>
      <c r="B41" s="87" t="s">
        <v>113</v>
      </c>
      <c r="C41" s="87"/>
      <c r="D41" s="84" t="s">
        <v>18</v>
      </c>
      <c r="E41" s="84">
        <v>1</v>
      </c>
      <c r="F41" s="66" t="s">
        <v>60</v>
      </c>
      <c r="G41" s="79"/>
      <c r="H41" s="78" t="s">
        <v>21</v>
      </c>
      <c r="I41" s="69" t="s">
        <v>20</v>
      </c>
      <c r="J41" s="65" t="s">
        <v>21</v>
      </c>
      <c r="K41" s="65" t="s">
        <v>22</v>
      </c>
      <c r="L41" s="70">
        <v>46305</v>
      </c>
      <c r="M41" s="71"/>
      <c r="N41" s="70">
        <v>46295</v>
      </c>
      <c r="O41" s="71">
        <v>40</v>
      </c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</row>
    <row r="42" spans="1:36" s="73" customFormat="1" ht="17" x14ac:dyDescent="0.2">
      <c r="A42" s="65" t="e">
        <f t="shared" si="1"/>
        <v>#REF!</v>
      </c>
      <c r="B42" s="87" t="s">
        <v>114</v>
      </c>
      <c r="C42" s="87"/>
      <c r="D42" s="84" t="s">
        <v>51</v>
      </c>
      <c r="E42" s="84">
        <v>5</v>
      </c>
      <c r="F42" s="87" t="s">
        <v>115</v>
      </c>
      <c r="G42" s="79"/>
      <c r="H42" s="78" t="s">
        <v>36</v>
      </c>
      <c r="I42" s="69" t="s">
        <v>20</v>
      </c>
      <c r="J42" s="65" t="s">
        <v>21</v>
      </c>
      <c r="K42" s="65" t="s">
        <v>22</v>
      </c>
      <c r="L42" s="70">
        <v>46305</v>
      </c>
      <c r="M42" s="71"/>
      <c r="N42" s="70">
        <v>46295</v>
      </c>
      <c r="O42" s="71">
        <v>40</v>
      </c>
    </row>
    <row r="43" spans="1:36" s="73" customFormat="1" ht="17" x14ac:dyDescent="0.2">
      <c r="A43" s="65" t="e">
        <f t="shared" si="1"/>
        <v>#REF!</v>
      </c>
      <c r="B43" s="87" t="s">
        <v>212</v>
      </c>
      <c r="C43" s="87"/>
      <c r="D43" s="84" t="s">
        <v>64</v>
      </c>
      <c r="E43" s="84">
        <v>3</v>
      </c>
      <c r="F43" s="87" t="s">
        <v>116</v>
      </c>
      <c r="G43" s="79"/>
      <c r="H43" s="78" t="s">
        <v>19</v>
      </c>
      <c r="I43" s="69" t="s">
        <v>20</v>
      </c>
      <c r="J43" s="65" t="s">
        <v>21</v>
      </c>
      <c r="K43" s="65" t="s">
        <v>22</v>
      </c>
      <c r="L43" s="70">
        <v>46305</v>
      </c>
      <c r="M43" s="71"/>
      <c r="N43" s="70">
        <v>46295</v>
      </c>
      <c r="O43" s="71">
        <v>40</v>
      </c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</row>
    <row r="44" spans="1:36" s="73" customFormat="1" ht="17" x14ac:dyDescent="0.2">
      <c r="A44" s="65" t="e">
        <f t="shared" si="1"/>
        <v>#REF!</v>
      </c>
      <c r="B44" s="77" t="s">
        <v>117</v>
      </c>
      <c r="C44" s="78"/>
      <c r="D44" s="78" t="s">
        <v>41</v>
      </c>
      <c r="E44" s="78">
        <v>2</v>
      </c>
      <c r="F44" s="77" t="s">
        <v>83</v>
      </c>
      <c r="G44" s="79"/>
      <c r="H44" s="78" t="s">
        <v>28</v>
      </c>
      <c r="I44" s="69" t="s">
        <v>20</v>
      </c>
      <c r="J44" s="65" t="s">
        <v>21</v>
      </c>
      <c r="K44" s="65" t="s">
        <v>22</v>
      </c>
      <c r="L44" s="70">
        <v>46305</v>
      </c>
      <c r="M44" s="71"/>
      <c r="N44" s="70">
        <v>46295</v>
      </c>
      <c r="O44" s="71">
        <v>40</v>
      </c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</row>
    <row r="45" spans="1:36" s="73" customFormat="1" ht="17" x14ac:dyDescent="0.2">
      <c r="A45" s="65" t="e">
        <f t="shared" si="1"/>
        <v>#REF!</v>
      </c>
      <c r="B45" s="77" t="s">
        <v>118</v>
      </c>
      <c r="C45" s="84" t="s">
        <v>119</v>
      </c>
      <c r="D45" s="78" t="s">
        <v>76</v>
      </c>
      <c r="E45" s="78">
        <v>1</v>
      </c>
      <c r="F45" s="77" t="s">
        <v>83</v>
      </c>
      <c r="G45" s="79"/>
      <c r="H45" s="78" t="s">
        <v>28</v>
      </c>
      <c r="I45" s="69" t="s">
        <v>20</v>
      </c>
      <c r="J45" s="65" t="s">
        <v>21</v>
      </c>
      <c r="K45" s="65" t="s">
        <v>22</v>
      </c>
      <c r="L45" s="70">
        <v>46305</v>
      </c>
      <c r="M45" s="71"/>
      <c r="N45" s="70">
        <v>46295</v>
      </c>
      <c r="O45" s="71">
        <v>40</v>
      </c>
    </row>
    <row r="46" spans="1:36" s="73" customFormat="1" ht="17" x14ac:dyDescent="0.2">
      <c r="A46" s="65" t="e">
        <f t="shared" si="1"/>
        <v>#REF!</v>
      </c>
      <c r="B46" s="66" t="s">
        <v>213</v>
      </c>
      <c r="C46" s="84" t="s">
        <v>119</v>
      </c>
      <c r="D46" s="84" t="s">
        <v>76</v>
      </c>
      <c r="E46" s="78">
        <v>1</v>
      </c>
      <c r="F46" s="77" t="s">
        <v>83</v>
      </c>
      <c r="G46" s="65"/>
      <c r="H46" s="65" t="s">
        <v>28</v>
      </c>
      <c r="I46" s="69" t="s">
        <v>20</v>
      </c>
      <c r="J46" s="65" t="s">
        <v>21</v>
      </c>
      <c r="K46" s="65" t="s">
        <v>22</v>
      </c>
      <c r="L46" s="70">
        <v>46305</v>
      </c>
      <c r="M46" s="71"/>
      <c r="N46" s="70">
        <v>46295</v>
      </c>
      <c r="O46" s="71">
        <v>40</v>
      </c>
    </row>
    <row r="47" spans="1:36" s="73" customFormat="1" ht="17" x14ac:dyDescent="0.2">
      <c r="A47" s="65" t="e">
        <f t="shared" si="1"/>
        <v>#REF!</v>
      </c>
      <c r="B47" s="77" t="s">
        <v>214</v>
      </c>
      <c r="C47" s="78" t="s">
        <v>86</v>
      </c>
      <c r="D47" s="78" t="s">
        <v>41</v>
      </c>
      <c r="E47" s="78">
        <v>8</v>
      </c>
      <c r="F47" s="77" t="s">
        <v>83</v>
      </c>
      <c r="G47" s="79"/>
      <c r="H47" s="78" t="s">
        <v>33</v>
      </c>
      <c r="I47" s="69" t="s">
        <v>20</v>
      </c>
      <c r="J47" s="65" t="s">
        <v>21</v>
      </c>
      <c r="K47" s="65" t="s">
        <v>22</v>
      </c>
      <c r="L47" s="70">
        <v>46305</v>
      </c>
      <c r="M47" s="71"/>
      <c r="N47" s="70">
        <v>46295</v>
      </c>
      <c r="O47" s="71">
        <v>40</v>
      </c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</row>
    <row r="48" spans="1:36" s="73" customFormat="1" ht="17" x14ac:dyDescent="0.2">
      <c r="A48" s="65" t="e">
        <f t="shared" si="1"/>
        <v>#REF!</v>
      </c>
      <c r="B48" s="77" t="s">
        <v>215</v>
      </c>
      <c r="C48" s="78" t="s">
        <v>86</v>
      </c>
      <c r="D48" s="78" t="s">
        <v>41</v>
      </c>
      <c r="E48" s="78">
        <v>10</v>
      </c>
      <c r="F48" s="77" t="s">
        <v>83</v>
      </c>
      <c r="G48" s="79"/>
      <c r="H48" s="78" t="s">
        <v>33</v>
      </c>
      <c r="I48" s="69" t="s">
        <v>20</v>
      </c>
      <c r="J48" s="65" t="s">
        <v>21</v>
      </c>
      <c r="K48" s="65" t="s">
        <v>22</v>
      </c>
      <c r="L48" s="70">
        <v>46305</v>
      </c>
      <c r="M48" s="71"/>
      <c r="N48" s="70">
        <v>46295</v>
      </c>
      <c r="O48" s="71">
        <v>40</v>
      </c>
    </row>
    <row r="49" spans="1:48" s="73" customFormat="1" ht="17" x14ac:dyDescent="0.2">
      <c r="A49" s="65" t="e">
        <f t="shared" si="1"/>
        <v>#REF!</v>
      </c>
      <c r="B49" s="77" t="s">
        <v>216</v>
      </c>
      <c r="C49" s="78" t="s">
        <v>86</v>
      </c>
      <c r="D49" s="78" t="s">
        <v>41</v>
      </c>
      <c r="E49" s="78">
        <v>10</v>
      </c>
      <c r="F49" s="77" t="s">
        <v>83</v>
      </c>
      <c r="G49" s="79"/>
      <c r="H49" s="78" t="s">
        <v>33</v>
      </c>
      <c r="I49" s="69" t="s">
        <v>20</v>
      </c>
      <c r="J49" s="65" t="s">
        <v>21</v>
      </c>
      <c r="K49" s="65" t="s">
        <v>22</v>
      </c>
      <c r="L49" s="70">
        <v>46305</v>
      </c>
      <c r="M49" s="71"/>
      <c r="N49" s="70">
        <v>46295</v>
      </c>
      <c r="O49" s="71">
        <v>40</v>
      </c>
    </row>
    <row r="50" spans="1:48" s="73" customFormat="1" ht="17" x14ac:dyDescent="0.2">
      <c r="A50" s="65" t="e">
        <f t="shared" si="1"/>
        <v>#REF!</v>
      </c>
      <c r="B50" s="77" t="s">
        <v>217</v>
      </c>
      <c r="C50" s="78" t="s">
        <v>86</v>
      </c>
      <c r="D50" s="78" t="s">
        <v>41</v>
      </c>
      <c r="E50" s="78">
        <v>10</v>
      </c>
      <c r="F50" s="77" t="s">
        <v>83</v>
      </c>
      <c r="G50" s="79"/>
      <c r="H50" s="78" t="s">
        <v>33</v>
      </c>
      <c r="I50" s="69" t="s">
        <v>20</v>
      </c>
      <c r="J50" s="65" t="s">
        <v>21</v>
      </c>
      <c r="K50" s="65" t="s">
        <v>22</v>
      </c>
      <c r="L50" s="70">
        <v>46305</v>
      </c>
      <c r="M50" s="71"/>
      <c r="N50" s="70">
        <v>46295</v>
      </c>
      <c r="O50" s="71">
        <v>40</v>
      </c>
    </row>
    <row r="51" spans="1:48" s="73" customFormat="1" ht="17" x14ac:dyDescent="0.2">
      <c r="A51" s="65" t="e">
        <f t="shared" si="1"/>
        <v>#REF!</v>
      </c>
      <c r="B51" s="77" t="s">
        <v>218</v>
      </c>
      <c r="C51" s="78" t="s">
        <v>86</v>
      </c>
      <c r="D51" s="78" t="s">
        <v>41</v>
      </c>
      <c r="E51" s="78">
        <v>10</v>
      </c>
      <c r="F51" s="77" t="s">
        <v>83</v>
      </c>
      <c r="G51" s="90"/>
      <c r="H51" s="78" t="s">
        <v>33</v>
      </c>
      <c r="I51" s="69" t="s">
        <v>20</v>
      </c>
      <c r="J51" s="65" t="s">
        <v>21</v>
      </c>
      <c r="K51" s="65" t="s">
        <v>22</v>
      </c>
      <c r="L51" s="70">
        <v>46305</v>
      </c>
      <c r="M51" s="71"/>
      <c r="N51" s="70">
        <v>46295</v>
      </c>
      <c r="O51" s="71">
        <v>40</v>
      </c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</row>
    <row r="52" spans="1:48" s="73" customFormat="1" ht="17" x14ac:dyDescent="0.2">
      <c r="A52" s="65" t="e">
        <f t="shared" si="1"/>
        <v>#REF!</v>
      </c>
      <c r="B52" s="77" t="s">
        <v>219</v>
      </c>
      <c r="C52" s="78" t="s">
        <v>86</v>
      </c>
      <c r="D52" s="78" t="s">
        <v>41</v>
      </c>
      <c r="E52" s="78">
        <v>8</v>
      </c>
      <c r="F52" s="77" t="s">
        <v>83</v>
      </c>
      <c r="G52" s="90"/>
      <c r="H52" s="78" t="s">
        <v>33</v>
      </c>
      <c r="I52" s="69" t="s">
        <v>20</v>
      </c>
      <c r="J52" s="65" t="s">
        <v>21</v>
      </c>
      <c r="K52" s="65" t="s">
        <v>22</v>
      </c>
      <c r="L52" s="70">
        <v>46305</v>
      </c>
      <c r="M52" s="71"/>
      <c r="N52" s="70">
        <v>46295</v>
      </c>
      <c r="O52" s="71">
        <v>40</v>
      </c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</row>
    <row r="53" spans="1:48" s="73" customFormat="1" ht="17" x14ac:dyDescent="0.2">
      <c r="A53" s="65" t="e">
        <f t="shared" si="1"/>
        <v>#REF!</v>
      </c>
      <c r="B53" s="87" t="s">
        <v>120</v>
      </c>
      <c r="C53" s="84" t="s">
        <v>121</v>
      </c>
      <c r="D53" s="84" t="s">
        <v>42</v>
      </c>
      <c r="E53" s="84">
        <v>5</v>
      </c>
      <c r="F53" s="77" t="s">
        <v>77</v>
      </c>
      <c r="G53" s="79"/>
      <c r="H53" s="78" t="s">
        <v>79</v>
      </c>
      <c r="I53" s="69" t="s">
        <v>20</v>
      </c>
      <c r="J53" s="65" t="s">
        <v>21</v>
      </c>
      <c r="K53" s="65" t="s">
        <v>22</v>
      </c>
      <c r="L53" s="70">
        <v>46305</v>
      </c>
      <c r="M53" s="71"/>
      <c r="N53" s="70">
        <v>46295</v>
      </c>
      <c r="O53" s="71">
        <v>40</v>
      </c>
    </row>
    <row r="54" spans="1:48" s="73" customFormat="1" ht="17" x14ac:dyDescent="0.2">
      <c r="A54" s="65" t="e">
        <f t="shared" si="1"/>
        <v>#REF!</v>
      </c>
      <c r="B54" s="87" t="s">
        <v>122</v>
      </c>
      <c r="C54" s="84" t="s">
        <v>121</v>
      </c>
      <c r="D54" s="84" t="s">
        <v>42</v>
      </c>
      <c r="E54" s="84">
        <v>5</v>
      </c>
      <c r="F54" s="77" t="s">
        <v>77</v>
      </c>
      <c r="G54" s="79"/>
      <c r="H54" s="78" t="s">
        <v>56</v>
      </c>
      <c r="I54" s="69" t="s">
        <v>20</v>
      </c>
      <c r="J54" s="65" t="s">
        <v>21</v>
      </c>
      <c r="K54" s="65" t="s">
        <v>22</v>
      </c>
      <c r="L54" s="70">
        <v>46305</v>
      </c>
      <c r="M54" s="71"/>
      <c r="N54" s="70">
        <v>46295</v>
      </c>
      <c r="O54" s="71">
        <v>40</v>
      </c>
    </row>
    <row r="55" spans="1:48" s="73" customFormat="1" ht="34" x14ac:dyDescent="0.2">
      <c r="A55" s="65" t="e">
        <f t="shared" si="1"/>
        <v>#REF!</v>
      </c>
      <c r="B55" s="92" t="s">
        <v>123</v>
      </c>
      <c r="C55" s="78" t="s">
        <v>124</v>
      </c>
      <c r="D55" s="78" t="s">
        <v>125</v>
      </c>
      <c r="E55" s="78">
        <v>1</v>
      </c>
      <c r="F55" s="77" t="s">
        <v>77</v>
      </c>
      <c r="G55" s="79"/>
      <c r="H55" s="78" t="s">
        <v>19</v>
      </c>
      <c r="I55" s="69" t="s">
        <v>20</v>
      </c>
      <c r="J55" s="65" t="s">
        <v>21</v>
      </c>
      <c r="K55" s="65" t="s">
        <v>22</v>
      </c>
      <c r="L55" s="70">
        <v>46305</v>
      </c>
      <c r="M55" s="71"/>
      <c r="N55" s="70">
        <v>46295</v>
      </c>
      <c r="O55" s="71">
        <v>40</v>
      </c>
    </row>
    <row r="56" spans="1:48" s="73" customFormat="1" ht="34" x14ac:dyDescent="0.2">
      <c r="A56" s="65" t="e">
        <f t="shared" si="1"/>
        <v>#REF!</v>
      </c>
      <c r="B56" s="87" t="s">
        <v>126</v>
      </c>
      <c r="C56" s="78" t="s">
        <v>127</v>
      </c>
      <c r="D56" s="78" t="s">
        <v>64</v>
      </c>
      <c r="E56" s="78">
        <v>1</v>
      </c>
      <c r="F56" s="77" t="s">
        <v>77</v>
      </c>
      <c r="G56" s="79"/>
      <c r="H56" s="78" t="s">
        <v>47</v>
      </c>
      <c r="I56" s="69" t="s">
        <v>20</v>
      </c>
      <c r="J56" s="65" t="s">
        <v>21</v>
      </c>
      <c r="K56" s="65" t="s">
        <v>22</v>
      </c>
      <c r="L56" s="70">
        <v>46305</v>
      </c>
      <c r="M56" s="71"/>
      <c r="N56" s="70">
        <v>46295</v>
      </c>
      <c r="O56" s="71">
        <v>40</v>
      </c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</row>
    <row r="57" spans="1:48" s="73" customFormat="1" ht="17" x14ac:dyDescent="0.2">
      <c r="A57" s="65" t="e">
        <f t="shared" si="1"/>
        <v>#REF!</v>
      </c>
      <c r="B57" s="77" t="s">
        <v>82</v>
      </c>
      <c r="C57" s="78"/>
      <c r="D57" s="78" t="s">
        <v>48</v>
      </c>
      <c r="E57" s="78">
        <v>2000</v>
      </c>
      <c r="F57" s="77" t="s">
        <v>69</v>
      </c>
      <c r="G57" s="79"/>
      <c r="H57" s="78" t="s">
        <v>19</v>
      </c>
      <c r="I57" s="69" t="s">
        <v>20</v>
      </c>
      <c r="J57" s="65" t="s">
        <v>21</v>
      </c>
      <c r="K57" s="65" t="s">
        <v>22</v>
      </c>
      <c r="L57" s="70">
        <v>46305</v>
      </c>
      <c r="M57" s="71" t="s">
        <v>50</v>
      </c>
      <c r="N57" s="70">
        <v>46295</v>
      </c>
      <c r="O57" s="71">
        <v>40</v>
      </c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</row>
    <row r="58" spans="1:48" s="73" customFormat="1" ht="17" x14ac:dyDescent="0.2">
      <c r="A58" s="65" t="e">
        <f t="shared" si="1"/>
        <v>#REF!</v>
      </c>
      <c r="B58" s="87" t="s">
        <v>34</v>
      </c>
      <c r="C58" s="87"/>
      <c r="D58" s="84" t="s">
        <v>35</v>
      </c>
      <c r="E58" s="84">
        <v>400</v>
      </c>
      <c r="F58" s="87" t="s">
        <v>29</v>
      </c>
      <c r="G58" s="79"/>
      <c r="H58" s="78" t="s">
        <v>79</v>
      </c>
      <c r="I58" s="69" t="s">
        <v>20</v>
      </c>
      <c r="J58" s="65" t="s">
        <v>21</v>
      </c>
      <c r="K58" s="65" t="s">
        <v>22</v>
      </c>
      <c r="L58" s="70">
        <v>46305</v>
      </c>
      <c r="M58" s="71" t="s">
        <v>50</v>
      </c>
      <c r="N58" s="70">
        <v>46295</v>
      </c>
      <c r="O58" s="71">
        <v>40</v>
      </c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</row>
    <row r="59" spans="1:48" s="73" customFormat="1" ht="17" x14ac:dyDescent="0.2">
      <c r="A59" s="65" t="e">
        <f t="shared" si="1"/>
        <v>#REF!</v>
      </c>
      <c r="B59" s="77" t="s">
        <v>128</v>
      </c>
      <c r="C59" s="78" t="s">
        <v>129</v>
      </c>
      <c r="D59" s="78" t="s">
        <v>74</v>
      </c>
      <c r="E59" s="78">
        <v>5</v>
      </c>
      <c r="F59" s="77" t="s">
        <v>130</v>
      </c>
      <c r="G59" s="79"/>
      <c r="H59" s="78" t="s">
        <v>28</v>
      </c>
      <c r="I59" s="69" t="s">
        <v>20</v>
      </c>
      <c r="J59" s="65" t="s">
        <v>21</v>
      </c>
      <c r="K59" s="65" t="s">
        <v>22</v>
      </c>
      <c r="L59" s="70">
        <v>46305</v>
      </c>
      <c r="M59" s="71"/>
      <c r="N59" s="70">
        <v>46295</v>
      </c>
      <c r="O59" s="71">
        <v>40</v>
      </c>
    </row>
    <row r="60" spans="1:48" s="73" customFormat="1" ht="17" x14ac:dyDescent="0.2">
      <c r="A60" s="65" t="e">
        <f t="shared" si="1"/>
        <v>#REF!</v>
      </c>
      <c r="B60" s="77" t="s">
        <v>128</v>
      </c>
      <c r="C60" s="78" t="s">
        <v>131</v>
      </c>
      <c r="D60" s="78" t="s">
        <v>74</v>
      </c>
      <c r="E60" s="78">
        <v>5</v>
      </c>
      <c r="F60" s="77" t="s">
        <v>132</v>
      </c>
      <c r="G60" s="79"/>
      <c r="H60" s="78" t="s">
        <v>43</v>
      </c>
      <c r="I60" s="69" t="s">
        <v>20</v>
      </c>
      <c r="J60" s="65" t="s">
        <v>21</v>
      </c>
      <c r="K60" s="65" t="s">
        <v>22</v>
      </c>
      <c r="L60" s="70">
        <v>46305</v>
      </c>
      <c r="M60" s="71"/>
      <c r="N60" s="70">
        <v>46295</v>
      </c>
      <c r="O60" s="71">
        <v>40</v>
      </c>
    </row>
    <row r="61" spans="1:48" s="73" customFormat="1" ht="17" x14ac:dyDescent="0.2">
      <c r="A61" s="65" t="e">
        <f t="shared" si="1"/>
        <v>#REF!</v>
      </c>
      <c r="B61" s="106" t="s">
        <v>184</v>
      </c>
      <c r="C61" s="108" t="s">
        <v>185</v>
      </c>
      <c r="D61" s="81" t="s">
        <v>23</v>
      </c>
      <c r="E61" s="82">
        <v>4</v>
      </c>
      <c r="F61" s="106" t="s">
        <v>186</v>
      </c>
      <c r="G61" s="106"/>
      <c r="H61" s="107" t="s">
        <v>47</v>
      </c>
      <c r="I61" s="69" t="s">
        <v>20</v>
      </c>
      <c r="J61" s="65" t="s">
        <v>21</v>
      </c>
      <c r="K61" s="65" t="s">
        <v>22</v>
      </c>
      <c r="L61" s="70">
        <v>46305</v>
      </c>
      <c r="M61" s="71" t="s">
        <v>50</v>
      </c>
      <c r="N61" s="70">
        <v>46295</v>
      </c>
      <c r="O61" s="71">
        <v>40</v>
      </c>
    </row>
    <row r="62" spans="1:48" s="73" customFormat="1" ht="17" x14ac:dyDescent="0.2">
      <c r="A62" s="65" t="e">
        <f t="shared" si="1"/>
        <v>#REF!</v>
      </c>
      <c r="B62" s="77" t="s">
        <v>221</v>
      </c>
      <c r="C62" s="78" t="s">
        <v>220</v>
      </c>
      <c r="D62" s="78" t="s">
        <v>24</v>
      </c>
      <c r="E62" s="78">
        <v>50</v>
      </c>
      <c r="F62" s="77" t="s">
        <v>133</v>
      </c>
      <c r="G62" s="65"/>
      <c r="H62" s="78" t="s">
        <v>47</v>
      </c>
      <c r="I62" s="69" t="s">
        <v>20</v>
      </c>
      <c r="J62" s="65" t="s">
        <v>21</v>
      </c>
      <c r="K62" s="65" t="s">
        <v>22</v>
      </c>
      <c r="L62" s="70">
        <v>46305</v>
      </c>
      <c r="M62" s="71"/>
      <c r="N62" s="70">
        <v>46295</v>
      </c>
      <c r="O62" s="71">
        <v>40</v>
      </c>
    </row>
    <row r="63" spans="1:48" s="73" customFormat="1" ht="34" x14ac:dyDescent="0.2">
      <c r="A63" s="65" t="e">
        <f t="shared" si="1"/>
        <v>#REF!</v>
      </c>
      <c r="B63" s="77" t="s">
        <v>134</v>
      </c>
      <c r="C63" s="78" t="s">
        <v>135</v>
      </c>
      <c r="D63" s="78" t="s">
        <v>23</v>
      </c>
      <c r="E63" s="78">
        <v>6</v>
      </c>
      <c r="F63" s="77" t="s">
        <v>222</v>
      </c>
      <c r="G63" s="65"/>
      <c r="H63" s="78" t="s">
        <v>28</v>
      </c>
      <c r="I63" s="69" t="s">
        <v>20</v>
      </c>
      <c r="J63" s="65" t="s">
        <v>21</v>
      </c>
      <c r="K63" s="65" t="s">
        <v>22</v>
      </c>
      <c r="L63" s="70">
        <v>46305</v>
      </c>
      <c r="M63" s="71"/>
      <c r="N63" s="70">
        <v>46295</v>
      </c>
      <c r="O63" s="71">
        <v>40</v>
      </c>
    </row>
    <row r="64" spans="1:48" s="73" customFormat="1" ht="34" x14ac:dyDescent="0.2">
      <c r="A64" s="65" t="e">
        <f t="shared" si="1"/>
        <v>#REF!</v>
      </c>
      <c r="B64" s="86" t="s">
        <v>136</v>
      </c>
      <c r="C64" s="89" t="s">
        <v>137</v>
      </c>
      <c r="D64" s="78" t="s">
        <v>64</v>
      </c>
      <c r="E64" s="78">
        <v>6</v>
      </c>
      <c r="F64" s="77" t="s">
        <v>138</v>
      </c>
      <c r="G64" s="79"/>
      <c r="H64" s="78" t="s">
        <v>21</v>
      </c>
      <c r="I64" s="69" t="s">
        <v>20</v>
      </c>
      <c r="J64" s="65" t="s">
        <v>21</v>
      </c>
      <c r="K64" s="65" t="s">
        <v>22</v>
      </c>
      <c r="L64" s="70">
        <v>46305</v>
      </c>
      <c r="M64" s="71"/>
      <c r="N64" s="70">
        <v>46295</v>
      </c>
      <c r="O64" s="71">
        <v>40</v>
      </c>
    </row>
    <row r="65" spans="1:36" s="73" customFormat="1" ht="17" x14ac:dyDescent="0.2">
      <c r="A65" s="65" t="e">
        <f t="shared" si="1"/>
        <v>#REF!</v>
      </c>
      <c r="B65" s="77" t="s">
        <v>139</v>
      </c>
      <c r="C65" s="78" t="s">
        <v>140</v>
      </c>
      <c r="D65" s="78" t="s">
        <v>88</v>
      </c>
      <c r="E65" s="78">
        <v>20</v>
      </c>
      <c r="F65" s="77" t="s">
        <v>141</v>
      </c>
      <c r="G65" s="79"/>
      <c r="H65" s="78" t="s">
        <v>28</v>
      </c>
      <c r="I65" s="69" t="s">
        <v>20</v>
      </c>
      <c r="J65" s="65" t="s">
        <v>21</v>
      </c>
      <c r="K65" s="65" t="s">
        <v>22</v>
      </c>
      <c r="L65" s="70">
        <v>46305</v>
      </c>
      <c r="M65" s="71"/>
      <c r="N65" s="70">
        <v>46295</v>
      </c>
      <c r="O65" s="71">
        <v>40</v>
      </c>
    </row>
    <row r="66" spans="1:36" s="73" customFormat="1" ht="17" x14ac:dyDescent="0.2">
      <c r="A66" s="65" t="e">
        <f t="shared" si="1"/>
        <v>#REF!</v>
      </c>
      <c r="B66" s="66" t="s">
        <v>73</v>
      </c>
      <c r="C66" s="78"/>
      <c r="D66" s="78" t="s">
        <v>84</v>
      </c>
      <c r="E66" s="78">
        <v>2</v>
      </c>
      <c r="F66" s="66" t="s">
        <v>223</v>
      </c>
      <c r="G66" s="79"/>
      <c r="H66" s="78" t="s">
        <v>47</v>
      </c>
      <c r="I66" s="69" t="s">
        <v>20</v>
      </c>
      <c r="J66" s="65" t="s">
        <v>21</v>
      </c>
      <c r="K66" s="65" t="s">
        <v>22</v>
      </c>
      <c r="L66" s="70">
        <v>46305</v>
      </c>
      <c r="M66" s="71"/>
      <c r="N66" s="70">
        <v>46295</v>
      </c>
      <c r="O66" s="71">
        <v>40</v>
      </c>
    </row>
    <row r="67" spans="1:36" s="73" customFormat="1" ht="17" x14ac:dyDescent="0.2">
      <c r="A67" s="65" t="e">
        <f t="shared" si="1"/>
        <v>#REF!</v>
      </c>
      <c r="B67" s="93" t="s">
        <v>142</v>
      </c>
      <c r="C67" s="94" t="s">
        <v>143</v>
      </c>
      <c r="D67" s="95" t="s">
        <v>18</v>
      </c>
      <c r="E67" s="95">
        <v>1</v>
      </c>
      <c r="F67" s="96" t="s">
        <v>83</v>
      </c>
      <c r="G67" s="79"/>
      <c r="H67" s="78" t="s">
        <v>21</v>
      </c>
      <c r="I67" s="69" t="s">
        <v>20</v>
      </c>
      <c r="J67" s="65" t="s">
        <v>21</v>
      </c>
      <c r="K67" s="65" t="s">
        <v>22</v>
      </c>
      <c r="L67" s="70">
        <v>46305</v>
      </c>
      <c r="M67" s="71"/>
      <c r="N67" s="70">
        <v>46295</v>
      </c>
      <c r="O67" s="71">
        <v>40</v>
      </c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</row>
    <row r="68" spans="1:36" s="73" customFormat="1" ht="17" x14ac:dyDescent="0.2">
      <c r="A68" s="65" t="e">
        <f t="shared" si="1"/>
        <v>#REF!</v>
      </c>
      <c r="B68" s="93" t="s">
        <v>144</v>
      </c>
      <c r="C68" s="94" t="s">
        <v>145</v>
      </c>
      <c r="D68" s="95" t="s">
        <v>66</v>
      </c>
      <c r="E68" s="95">
        <v>200</v>
      </c>
      <c r="F68" s="96" t="s">
        <v>146</v>
      </c>
      <c r="G68" s="79"/>
      <c r="H68" s="78" t="s">
        <v>47</v>
      </c>
      <c r="I68" s="69" t="s">
        <v>20</v>
      </c>
      <c r="J68" s="65" t="s">
        <v>21</v>
      </c>
      <c r="K68" s="65" t="s">
        <v>22</v>
      </c>
      <c r="L68" s="70">
        <v>46305</v>
      </c>
      <c r="M68" s="71"/>
      <c r="N68" s="70">
        <v>46295</v>
      </c>
      <c r="O68" s="71">
        <v>40</v>
      </c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</row>
    <row r="69" spans="1:36" s="73" customFormat="1" ht="34" x14ac:dyDescent="0.2">
      <c r="A69" s="65" t="e">
        <f t="shared" si="1"/>
        <v>#REF!</v>
      </c>
      <c r="B69" s="93" t="s">
        <v>224</v>
      </c>
      <c r="C69" s="94" t="s">
        <v>225</v>
      </c>
      <c r="D69" s="95" t="s">
        <v>18</v>
      </c>
      <c r="E69" s="95">
        <v>1</v>
      </c>
      <c r="F69" s="96" t="s">
        <v>147</v>
      </c>
      <c r="G69" s="79"/>
      <c r="H69" s="78" t="s">
        <v>68</v>
      </c>
      <c r="I69" s="69" t="s">
        <v>20</v>
      </c>
      <c r="J69" s="65" t="s">
        <v>21</v>
      </c>
      <c r="K69" s="65" t="s">
        <v>80</v>
      </c>
      <c r="L69" s="70">
        <v>46305</v>
      </c>
      <c r="M69" s="71"/>
      <c r="N69" s="70">
        <v>46295</v>
      </c>
      <c r="O69" s="71">
        <v>40</v>
      </c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</row>
    <row r="70" spans="1:36" s="73" customFormat="1" ht="34" x14ac:dyDescent="0.2">
      <c r="A70" s="65" t="e">
        <f t="shared" si="1"/>
        <v>#REF!</v>
      </c>
      <c r="B70" s="93" t="s">
        <v>148</v>
      </c>
      <c r="C70" s="94" t="s">
        <v>149</v>
      </c>
      <c r="D70" s="95" t="s">
        <v>18</v>
      </c>
      <c r="E70" s="95">
        <v>10</v>
      </c>
      <c r="F70" s="96" t="s">
        <v>147</v>
      </c>
      <c r="G70" s="79"/>
      <c r="H70" s="78" t="s">
        <v>68</v>
      </c>
      <c r="I70" s="69" t="s">
        <v>20</v>
      </c>
      <c r="J70" s="65" t="s">
        <v>21</v>
      </c>
      <c r="K70" s="65" t="s">
        <v>80</v>
      </c>
      <c r="L70" s="70">
        <v>46305</v>
      </c>
      <c r="M70" s="71"/>
      <c r="N70" s="70">
        <v>46295</v>
      </c>
      <c r="O70" s="71">
        <v>40</v>
      </c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</row>
    <row r="71" spans="1:36" s="73" customFormat="1" ht="34" x14ac:dyDescent="0.2">
      <c r="A71" s="65" t="e">
        <f t="shared" si="1"/>
        <v>#REF!</v>
      </c>
      <c r="B71" s="93" t="s">
        <v>150</v>
      </c>
      <c r="C71" s="94" t="s">
        <v>85</v>
      </c>
      <c r="D71" s="95" t="s">
        <v>18</v>
      </c>
      <c r="E71" s="95">
        <v>2</v>
      </c>
      <c r="F71" s="96" t="s">
        <v>147</v>
      </c>
      <c r="G71" s="79"/>
      <c r="H71" s="78" t="s">
        <v>68</v>
      </c>
      <c r="I71" s="69" t="s">
        <v>20</v>
      </c>
      <c r="J71" s="65" t="s">
        <v>21</v>
      </c>
      <c r="K71" s="65" t="s">
        <v>80</v>
      </c>
      <c r="L71" s="70">
        <v>46305</v>
      </c>
      <c r="M71" s="71"/>
      <c r="N71" s="70">
        <v>46295</v>
      </c>
      <c r="O71" s="71">
        <v>40</v>
      </c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</row>
    <row r="72" spans="1:36" s="73" customFormat="1" ht="34" x14ac:dyDescent="0.2">
      <c r="A72" s="65" t="e">
        <f t="shared" si="1"/>
        <v>#REF!</v>
      </c>
      <c r="B72" s="93" t="s">
        <v>151</v>
      </c>
      <c r="C72" s="94" t="s">
        <v>152</v>
      </c>
      <c r="D72" s="95" t="s">
        <v>44</v>
      </c>
      <c r="E72" s="95">
        <v>350</v>
      </c>
      <c r="F72" s="96" t="s">
        <v>147</v>
      </c>
      <c r="G72" s="79"/>
      <c r="H72" s="78" t="s">
        <v>68</v>
      </c>
      <c r="I72" s="69" t="s">
        <v>20</v>
      </c>
      <c r="J72" s="65" t="s">
        <v>21</v>
      </c>
      <c r="K72" s="65" t="s">
        <v>80</v>
      </c>
      <c r="L72" s="70">
        <v>46305</v>
      </c>
      <c r="M72" s="71"/>
      <c r="N72" s="70">
        <v>46295</v>
      </c>
      <c r="O72" s="71">
        <v>40</v>
      </c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</row>
    <row r="73" spans="1:36" s="73" customFormat="1" ht="34" x14ac:dyDescent="0.2">
      <c r="A73" s="65" t="e">
        <f t="shared" ref="A73:A88" si="2">+A72+1</f>
        <v>#REF!</v>
      </c>
      <c r="B73" s="93" t="s">
        <v>153</v>
      </c>
      <c r="C73" s="94" t="s">
        <v>152</v>
      </c>
      <c r="D73" s="95" t="s">
        <v>18</v>
      </c>
      <c r="E73" s="95">
        <v>100</v>
      </c>
      <c r="F73" s="96" t="s">
        <v>147</v>
      </c>
      <c r="G73" s="79"/>
      <c r="H73" s="78" t="s">
        <v>68</v>
      </c>
      <c r="I73" s="69" t="s">
        <v>20</v>
      </c>
      <c r="J73" s="65" t="s">
        <v>21</v>
      </c>
      <c r="K73" s="65" t="s">
        <v>80</v>
      </c>
      <c r="L73" s="70">
        <v>46305</v>
      </c>
      <c r="M73" s="71"/>
      <c r="N73" s="70">
        <v>46295</v>
      </c>
      <c r="O73" s="71">
        <v>40</v>
      </c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</row>
    <row r="74" spans="1:36" s="73" customFormat="1" ht="34" x14ac:dyDescent="0.2">
      <c r="A74" s="65" t="e">
        <f t="shared" si="2"/>
        <v>#REF!</v>
      </c>
      <c r="B74" s="93" t="s">
        <v>154</v>
      </c>
      <c r="C74" s="94" t="s">
        <v>152</v>
      </c>
      <c r="D74" s="95" t="s">
        <v>18</v>
      </c>
      <c r="E74" s="95">
        <v>30</v>
      </c>
      <c r="F74" s="96" t="s">
        <v>147</v>
      </c>
      <c r="G74" s="79"/>
      <c r="H74" s="78" t="s">
        <v>68</v>
      </c>
      <c r="I74" s="69" t="s">
        <v>20</v>
      </c>
      <c r="J74" s="65" t="s">
        <v>21</v>
      </c>
      <c r="K74" s="65" t="s">
        <v>80</v>
      </c>
      <c r="L74" s="70">
        <v>46305</v>
      </c>
      <c r="M74" s="71"/>
      <c r="N74" s="70">
        <v>46295</v>
      </c>
      <c r="O74" s="71">
        <v>40</v>
      </c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</row>
    <row r="75" spans="1:36" s="73" customFormat="1" ht="17" x14ac:dyDescent="0.2">
      <c r="A75" s="65" t="e">
        <f t="shared" si="2"/>
        <v>#REF!</v>
      </c>
      <c r="B75" s="88" t="s">
        <v>155</v>
      </c>
      <c r="C75" s="89"/>
      <c r="D75" s="89" t="s">
        <v>84</v>
      </c>
      <c r="E75" s="89">
        <v>100</v>
      </c>
      <c r="F75" s="97" t="s">
        <v>29</v>
      </c>
      <c r="G75" s="79"/>
      <c r="H75" s="78" t="s">
        <v>47</v>
      </c>
      <c r="I75" s="69" t="s">
        <v>20</v>
      </c>
      <c r="J75" s="65" t="s">
        <v>21</v>
      </c>
      <c r="K75" s="65" t="s">
        <v>22</v>
      </c>
      <c r="L75" s="70">
        <v>46305</v>
      </c>
      <c r="M75" s="71"/>
      <c r="N75" s="70">
        <v>46295</v>
      </c>
      <c r="O75" s="71">
        <v>40</v>
      </c>
    </row>
    <row r="76" spans="1:36" s="73" customFormat="1" ht="17" x14ac:dyDescent="0.2">
      <c r="A76" s="65" t="e">
        <f t="shared" si="2"/>
        <v>#REF!</v>
      </c>
      <c r="B76" s="86" t="s">
        <v>156</v>
      </c>
      <c r="C76" s="87"/>
      <c r="D76" s="84" t="s">
        <v>51</v>
      </c>
      <c r="E76" s="84">
        <v>10</v>
      </c>
      <c r="F76" s="87" t="s">
        <v>157</v>
      </c>
      <c r="G76" s="79"/>
      <c r="H76" s="78" t="s">
        <v>65</v>
      </c>
      <c r="I76" s="69" t="s">
        <v>20</v>
      </c>
      <c r="J76" s="65" t="s">
        <v>21</v>
      </c>
      <c r="K76" s="65" t="s">
        <v>22</v>
      </c>
      <c r="L76" s="70">
        <v>46305</v>
      </c>
      <c r="M76" s="71"/>
      <c r="N76" s="70">
        <v>46295</v>
      </c>
      <c r="O76" s="71">
        <v>40</v>
      </c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</row>
    <row r="77" spans="1:36" s="73" customFormat="1" ht="17" x14ac:dyDescent="0.2">
      <c r="A77" s="65" t="e">
        <f t="shared" si="2"/>
        <v>#REF!</v>
      </c>
      <c r="B77" s="77" t="s">
        <v>158</v>
      </c>
      <c r="C77" s="78"/>
      <c r="D77" s="78" t="s">
        <v>26</v>
      </c>
      <c r="E77" s="78">
        <v>10</v>
      </c>
      <c r="F77" s="77" t="s">
        <v>27</v>
      </c>
      <c r="G77" s="79"/>
      <c r="H77" s="78" t="s">
        <v>28</v>
      </c>
      <c r="I77" s="69" t="s">
        <v>20</v>
      </c>
      <c r="J77" s="65" t="s">
        <v>21</v>
      </c>
      <c r="K77" s="65" t="s">
        <v>22</v>
      </c>
      <c r="L77" s="70">
        <v>46305</v>
      </c>
      <c r="M77" s="71"/>
      <c r="N77" s="70">
        <v>46295</v>
      </c>
      <c r="O77" s="71">
        <v>40</v>
      </c>
    </row>
    <row r="78" spans="1:36" s="73" customFormat="1" ht="34" x14ac:dyDescent="0.2">
      <c r="A78" s="65" t="e">
        <f t="shared" si="2"/>
        <v>#REF!</v>
      </c>
      <c r="B78" s="86" t="s">
        <v>175</v>
      </c>
      <c r="C78" s="84" t="s">
        <v>159</v>
      </c>
      <c r="D78" s="84" t="s">
        <v>64</v>
      </c>
      <c r="E78" s="84">
        <v>5</v>
      </c>
      <c r="F78" s="66" t="s">
        <v>77</v>
      </c>
      <c r="G78" s="79"/>
      <c r="H78" s="78" t="s">
        <v>21</v>
      </c>
      <c r="I78" s="69" t="s">
        <v>20</v>
      </c>
      <c r="J78" s="65" t="s">
        <v>21</v>
      </c>
      <c r="K78" s="65" t="s">
        <v>22</v>
      </c>
      <c r="L78" s="70">
        <v>46305</v>
      </c>
      <c r="M78" s="71"/>
      <c r="N78" s="70">
        <v>46295</v>
      </c>
      <c r="O78" s="71">
        <v>40</v>
      </c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</row>
    <row r="79" spans="1:36" s="73" customFormat="1" ht="17" x14ac:dyDescent="0.2">
      <c r="A79" s="65" t="e">
        <f t="shared" si="2"/>
        <v>#REF!</v>
      </c>
      <c r="B79" s="77" t="s">
        <v>160</v>
      </c>
      <c r="C79" s="78" t="s">
        <v>161</v>
      </c>
      <c r="D79" s="78" t="s">
        <v>25</v>
      </c>
      <c r="E79" s="78">
        <v>2</v>
      </c>
      <c r="F79" s="77" t="s">
        <v>162</v>
      </c>
      <c r="G79" s="79"/>
      <c r="H79" s="78" t="s">
        <v>28</v>
      </c>
      <c r="I79" s="69" t="s">
        <v>20</v>
      </c>
      <c r="J79" s="65" t="s">
        <v>21</v>
      </c>
      <c r="K79" s="65" t="s">
        <v>22</v>
      </c>
      <c r="L79" s="70">
        <v>46305</v>
      </c>
      <c r="M79" s="71"/>
      <c r="N79" s="70">
        <v>46295</v>
      </c>
      <c r="O79" s="71">
        <v>40</v>
      </c>
    </row>
    <row r="80" spans="1:36" s="73" customFormat="1" ht="17" x14ac:dyDescent="0.2">
      <c r="A80" s="65" t="e">
        <f t="shared" si="2"/>
        <v>#REF!</v>
      </c>
      <c r="B80" s="77" t="s">
        <v>160</v>
      </c>
      <c r="C80" s="78" t="s">
        <v>163</v>
      </c>
      <c r="D80" s="78" t="s">
        <v>25</v>
      </c>
      <c r="E80" s="78">
        <v>2</v>
      </c>
      <c r="F80" s="77" t="s">
        <v>164</v>
      </c>
      <c r="G80" s="79"/>
      <c r="H80" s="78" t="s">
        <v>43</v>
      </c>
      <c r="I80" s="69" t="s">
        <v>20</v>
      </c>
      <c r="J80" s="65" t="s">
        <v>21</v>
      </c>
      <c r="K80" s="65" t="s">
        <v>22</v>
      </c>
      <c r="L80" s="70">
        <v>46305</v>
      </c>
      <c r="M80" s="71"/>
      <c r="N80" s="70">
        <v>46295</v>
      </c>
      <c r="O80" s="71">
        <v>40</v>
      </c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</row>
    <row r="81" spans="1:48" s="73" customFormat="1" ht="17" x14ac:dyDescent="0.2">
      <c r="A81" s="65" t="e">
        <f t="shared" si="2"/>
        <v>#REF!</v>
      </c>
      <c r="B81" s="87" t="s">
        <v>55</v>
      </c>
      <c r="C81" s="87"/>
      <c r="D81" s="84" t="s">
        <v>45</v>
      </c>
      <c r="E81" s="84">
        <v>200</v>
      </c>
      <c r="F81" s="87" t="s">
        <v>29</v>
      </c>
      <c r="G81" s="79"/>
      <c r="H81" s="78" t="s">
        <v>79</v>
      </c>
      <c r="I81" s="69" t="s">
        <v>20</v>
      </c>
      <c r="J81" s="65" t="s">
        <v>21</v>
      </c>
      <c r="K81" s="65" t="s">
        <v>22</v>
      </c>
      <c r="L81" s="70">
        <v>46305</v>
      </c>
      <c r="M81" s="71"/>
      <c r="N81" s="70">
        <v>46295</v>
      </c>
      <c r="O81" s="71">
        <v>40</v>
      </c>
    </row>
    <row r="82" spans="1:48" s="73" customFormat="1" ht="17" x14ac:dyDescent="0.2">
      <c r="A82" s="65" t="e">
        <f t="shared" si="2"/>
        <v>#REF!</v>
      </c>
      <c r="B82" s="87" t="s">
        <v>52</v>
      </c>
      <c r="C82" s="87"/>
      <c r="D82" s="84" t="s">
        <v>45</v>
      </c>
      <c r="E82" s="84">
        <v>20</v>
      </c>
      <c r="F82" s="66" t="s">
        <v>29</v>
      </c>
      <c r="G82" s="79"/>
      <c r="H82" s="78" t="s">
        <v>79</v>
      </c>
      <c r="I82" s="69" t="s">
        <v>20</v>
      </c>
      <c r="J82" s="65" t="s">
        <v>21</v>
      </c>
      <c r="K82" s="65" t="s">
        <v>22</v>
      </c>
      <c r="L82" s="70">
        <v>46305</v>
      </c>
      <c r="M82" s="71"/>
      <c r="N82" s="70">
        <v>46295</v>
      </c>
      <c r="O82" s="71">
        <v>40</v>
      </c>
    </row>
    <row r="83" spans="1:48" s="73" customFormat="1" ht="17" x14ac:dyDescent="0.2">
      <c r="A83" s="65" t="e">
        <f t="shared" si="2"/>
        <v>#REF!</v>
      </c>
      <c r="B83" s="77" t="s">
        <v>165</v>
      </c>
      <c r="C83" s="78"/>
      <c r="D83" s="78" t="s">
        <v>51</v>
      </c>
      <c r="E83" s="78">
        <v>2</v>
      </c>
      <c r="F83" s="77" t="s">
        <v>166</v>
      </c>
      <c r="G83" s="79"/>
      <c r="H83" s="78" t="s">
        <v>28</v>
      </c>
      <c r="I83" s="69" t="s">
        <v>20</v>
      </c>
      <c r="J83" s="65" t="s">
        <v>21</v>
      </c>
      <c r="K83" s="65" t="s">
        <v>22</v>
      </c>
      <c r="L83" s="70">
        <v>46305</v>
      </c>
      <c r="M83" s="71"/>
      <c r="N83" s="70">
        <v>46295</v>
      </c>
      <c r="O83" s="71">
        <v>40</v>
      </c>
    </row>
    <row r="84" spans="1:48" s="73" customFormat="1" ht="17" x14ac:dyDescent="0.2">
      <c r="A84" s="65" t="e">
        <f t="shared" si="2"/>
        <v>#REF!</v>
      </c>
      <c r="B84" s="77" t="s">
        <v>167</v>
      </c>
      <c r="C84" s="78"/>
      <c r="D84" s="78" t="s">
        <v>51</v>
      </c>
      <c r="E84" s="78">
        <v>2</v>
      </c>
      <c r="F84" s="77" t="s">
        <v>166</v>
      </c>
      <c r="G84" s="79"/>
      <c r="H84" s="78" t="s">
        <v>28</v>
      </c>
      <c r="I84" s="69" t="s">
        <v>20</v>
      </c>
      <c r="J84" s="65" t="s">
        <v>21</v>
      </c>
      <c r="K84" s="65" t="s">
        <v>22</v>
      </c>
      <c r="L84" s="70">
        <v>46305</v>
      </c>
      <c r="M84" s="71"/>
      <c r="N84" s="70">
        <v>46295</v>
      </c>
      <c r="O84" s="71">
        <v>40</v>
      </c>
    </row>
    <row r="85" spans="1:48" s="73" customFormat="1" ht="17" x14ac:dyDescent="0.2">
      <c r="A85" s="65" t="e">
        <f t="shared" si="2"/>
        <v>#REF!</v>
      </c>
      <c r="B85" s="66" t="s">
        <v>168</v>
      </c>
      <c r="C85" s="78"/>
      <c r="D85" s="78" t="s">
        <v>18</v>
      </c>
      <c r="E85" s="84">
        <v>10</v>
      </c>
      <c r="F85" s="87" t="s">
        <v>78</v>
      </c>
      <c r="G85" s="79"/>
      <c r="H85" s="78" t="s">
        <v>30</v>
      </c>
      <c r="I85" s="69" t="s">
        <v>20</v>
      </c>
      <c r="J85" s="65" t="s">
        <v>21</v>
      </c>
      <c r="K85" s="65" t="s">
        <v>22</v>
      </c>
      <c r="L85" s="70">
        <v>46305</v>
      </c>
      <c r="M85" s="71"/>
      <c r="N85" s="70">
        <v>46295</v>
      </c>
      <c r="O85" s="71">
        <v>40</v>
      </c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</row>
    <row r="86" spans="1:48" s="73" customFormat="1" ht="17" x14ac:dyDescent="0.2">
      <c r="A86" s="65" t="e">
        <f t="shared" si="2"/>
        <v>#REF!</v>
      </c>
      <c r="B86" s="87" t="s">
        <v>169</v>
      </c>
      <c r="C86" s="87"/>
      <c r="D86" s="78" t="s">
        <v>18</v>
      </c>
      <c r="E86" s="84">
        <v>20</v>
      </c>
      <c r="F86" s="87" t="s">
        <v>170</v>
      </c>
      <c r="G86" s="79"/>
      <c r="H86" s="78" t="s">
        <v>36</v>
      </c>
      <c r="I86" s="69" t="s">
        <v>20</v>
      </c>
      <c r="J86" s="65" t="s">
        <v>21</v>
      </c>
      <c r="K86" s="65" t="s">
        <v>22</v>
      </c>
      <c r="L86" s="70">
        <v>46305</v>
      </c>
      <c r="M86" s="71"/>
      <c r="N86" s="70">
        <v>46295</v>
      </c>
      <c r="O86" s="71">
        <v>40</v>
      </c>
    </row>
    <row r="87" spans="1:48" s="73" customFormat="1" ht="17" x14ac:dyDescent="0.2">
      <c r="A87" s="65" t="e">
        <f t="shared" si="2"/>
        <v>#REF!</v>
      </c>
      <c r="B87" s="87" t="s">
        <v>171</v>
      </c>
      <c r="C87" s="84"/>
      <c r="D87" s="78" t="s">
        <v>18</v>
      </c>
      <c r="E87" s="84">
        <v>2</v>
      </c>
      <c r="F87" s="66" t="s">
        <v>172</v>
      </c>
      <c r="G87" s="98"/>
      <c r="H87" s="78" t="s">
        <v>36</v>
      </c>
      <c r="I87" s="69" t="s">
        <v>20</v>
      </c>
      <c r="J87" s="65" t="s">
        <v>21</v>
      </c>
      <c r="K87" s="65" t="s">
        <v>22</v>
      </c>
      <c r="L87" s="70">
        <v>46305</v>
      </c>
      <c r="M87" s="71"/>
      <c r="N87" s="70">
        <v>46295</v>
      </c>
      <c r="O87" s="71">
        <v>40</v>
      </c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</row>
    <row r="88" spans="1:48" s="73" customFormat="1" ht="17" x14ac:dyDescent="0.2">
      <c r="A88" s="65" t="e">
        <f t="shared" si="2"/>
        <v>#REF!</v>
      </c>
      <c r="B88" s="87" t="s">
        <v>173</v>
      </c>
      <c r="C88" s="87"/>
      <c r="D88" s="78" t="s">
        <v>18</v>
      </c>
      <c r="E88" s="84">
        <v>2</v>
      </c>
      <c r="F88" s="87" t="s">
        <v>174</v>
      </c>
      <c r="G88" s="79"/>
      <c r="H88" s="78" t="s">
        <v>43</v>
      </c>
      <c r="I88" s="69" t="s">
        <v>20</v>
      </c>
      <c r="J88" s="65" t="s">
        <v>21</v>
      </c>
      <c r="K88" s="65" t="s">
        <v>22</v>
      </c>
      <c r="L88" s="70">
        <v>46305</v>
      </c>
      <c r="M88" s="71"/>
      <c r="N88" s="70">
        <v>46295</v>
      </c>
      <c r="O88" s="71">
        <v>40</v>
      </c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</row>
    <row r="89" spans="1:48" ht="16" x14ac:dyDescent="0.2">
      <c r="A89" s="50"/>
      <c r="B89" s="45"/>
      <c r="C89" s="49"/>
      <c r="D89" s="42"/>
      <c r="E89" s="42"/>
      <c r="F89" s="45"/>
      <c r="G89" s="52"/>
      <c r="H89" s="42"/>
      <c r="I89" s="51"/>
      <c r="J89" s="41"/>
      <c r="K89" s="41"/>
      <c r="L89" s="46"/>
      <c r="M89" s="43"/>
      <c r="N89" s="46"/>
      <c r="O89" s="43"/>
    </row>
    <row r="90" spans="1:48" ht="16" x14ac:dyDescent="0.2">
      <c r="A90" s="50"/>
      <c r="B90" s="45"/>
      <c r="C90" s="49"/>
      <c r="D90" s="42"/>
      <c r="E90" s="42"/>
      <c r="F90" s="45"/>
      <c r="G90" s="52"/>
      <c r="H90" s="42"/>
      <c r="I90" s="51"/>
      <c r="J90" s="41"/>
      <c r="K90" s="41"/>
      <c r="L90" s="46"/>
      <c r="M90" s="43"/>
      <c r="N90" s="46"/>
      <c r="O90" s="43"/>
    </row>
    <row r="91" spans="1:48" ht="16" x14ac:dyDescent="0.2">
      <c r="A91" s="50"/>
      <c r="B91" s="45"/>
      <c r="C91" s="49"/>
      <c r="D91" s="42"/>
      <c r="E91" s="42"/>
      <c r="F91" s="45"/>
      <c r="G91" s="52"/>
      <c r="H91" s="42"/>
      <c r="I91" s="51"/>
      <c r="J91" s="41"/>
      <c r="K91" s="41"/>
      <c r="L91" s="46"/>
      <c r="M91" s="43"/>
      <c r="N91" s="46"/>
      <c r="O91" s="43"/>
    </row>
    <row r="92" spans="1:48" ht="16" x14ac:dyDescent="0.2">
      <c r="A92" s="50"/>
      <c r="B92" s="45"/>
      <c r="C92" s="49"/>
      <c r="D92" s="42"/>
      <c r="E92" s="42"/>
      <c r="F92" s="45"/>
      <c r="G92" s="52"/>
      <c r="H92" s="42"/>
      <c r="I92" s="51"/>
      <c r="J92" s="41"/>
      <c r="K92" s="41"/>
      <c r="L92" s="46"/>
      <c r="M92" s="43"/>
      <c r="N92" s="46"/>
      <c r="O92" s="43"/>
    </row>
    <row r="93" spans="1:48" ht="16" x14ac:dyDescent="0.2">
      <c r="A93" s="50"/>
      <c r="B93" s="45"/>
      <c r="C93" s="49"/>
      <c r="D93" s="42"/>
      <c r="E93" s="42"/>
      <c r="F93" s="45"/>
      <c r="G93" s="52"/>
      <c r="H93" s="42"/>
      <c r="I93" s="51"/>
      <c r="J93" s="41"/>
      <c r="K93" s="41"/>
      <c r="L93" s="46"/>
      <c r="M93" s="43"/>
      <c r="N93" s="46"/>
      <c r="O93" s="43"/>
    </row>
    <row r="94" spans="1:48" ht="16" x14ac:dyDescent="0.2">
      <c r="A94" s="50"/>
      <c r="B94" s="45"/>
      <c r="C94" s="49"/>
      <c r="D94" s="42"/>
      <c r="E94" s="42"/>
      <c r="F94" s="45"/>
      <c r="G94" s="52"/>
      <c r="H94" s="42"/>
      <c r="I94" s="51"/>
      <c r="J94" s="41"/>
      <c r="K94" s="41"/>
      <c r="L94" s="46"/>
      <c r="M94" s="43"/>
      <c r="N94" s="46"/>
      <c r="O94" s="43"/>
    </row>
    <row r="95" spans="1:48" ht="16" x14ac:dyDescent="0.2">
      <c r="A95" s="50"/>
      <c r="B95" s="45"/>
      <c r="C95" s="49"/>
      <c r="D95" s="42"/>
      <c r="E95" s="42"/>
      <c r="F95" s="45"/>
      <c r="G95" s="52"/>
      <c r="H95" s="42"/>
      <c r="I95" s="51"/>
      <c r="J95" s="41"/>
      <c r="K95" s="41"/>
      <c r="L95" s="46"/>
      <c r="M95" s="43"/>
      <c r="N95" s="46"/>
      <c r="O95" s="43"/>
    </row>
    <row r="96" spans="1:48" ht="16" x14ac:dyDescent="0.2">
      <c r="A96" s="50"/>
      <c r="B96" s="45"/>
      <c r="C96" s="49"/>
      <c r="D96" s="42"/>
      <c r="E96" s="42"/>
      <c r="F96" s="45"/>
      <c r="G96" s="52"/>
      <c r="H96" s="42"/>
      <c r="I96" s="51"/>
      <c r="J96" s="41"/>
      <c r="K96" s="41"/>
      <c r="L96" s="46"/>
      <c r="M96" s="43"/>
      <c r="N96" s="46"/>
      <c r="O96" s="43"/>
    </row>
    <row r="97" spans="1:15" ht="16" x14ac:dyDescent="0.2">
      <c r="A97" s="50"/>
      <c r="B97" s="45"/>
      <c r="C97" s="49"/>
      <c r="D97" s="42"/>
      <c r="E97" s="42"/>
      <c r="F97" s="45"/>
      <c r="G97" s="52"/>
      <c r="H97" s="42"/>
      <c r="I97" s="51"/>
      <c r="J97" s="41"/>
      <c r="K97" s="41"/>
      <c r="L97" s="46"/>
      <c r="M97" s="43"/>
      <c r="N97" s="46"/>
      <c r="O97" s="43"/>
    </row>
    <row r="98" spans="1:15" ht="16" x14ac:dyDescent="0.2">
      <c r="A98" s="50"/>
      <c r="B98" s="45"/>
      <c r="C98" s="49"/>
      <c r="D98" s="42"/>
      <c r="E98" s="42"/>
      <c r="F98" s="45"/>
      <c r="G98" s="52"/>
      <c r="H98" s="42"/>
      <c r="I98" s="51"/>
      <c r="J98" s="41"/>
      <c r="K98" s="41"/>
      <c r="L98" s="46"/>
      <c r="M98" s="43"/>
      <c r="N98" s="46"/>
      <c r="O98" s="43"/>
    </row>
    <row r="99" spans="1:15" ht="16" x14ac:dyDescent="0.2">
      <c r="A99" s="50"/>
      <c r="B99" s="45"/>
      <c r="C99" s="49"/>
      <c r="D99" s="42"/>
      <c r="E99" s="42"/>
      <c r="F99" s="45"/>
      <c r="G99" s="52"/>
      <c r="H99" s="42"/>
      <c r="I99" s="51"/>
      <c r="J99" s="41"/>
      <c r="K99" s="41"/>
      <c r="L99" s="46"/>
      <c r="M99" s="43"/>
      <c r="N99" s="46"/>
      <c r="O99" s="43"/>
    </row>
    <row r="100" spans="1:15" ht="16" x14ac:dyDescent="0.2">
      <c r="A100" s="50"/>
      <c r="B100" s="45"/>
      <c r="C100" s="49"/>
      <c r="D100" s="42"/>
      <c r="E100" s="42"/>
      <c r="F100" s="45"/>
      <c r="G100" s="52"/>
      <c r="H100" s="42"/>
      <c r="I100" s="51"/>
      <c r="J100" s="41"/>
      <c r="K100" s="41"/>
      <c r="L100" s="46"/>
      <c r="M100" s="43"/>
      <c r="N100" s="46"/>
      <c r="O100" s="43"/>
    </row>
    <row r="101" spans="1:15" ht="16" x14ac:dyDescent="0.2">
      <c r="A101" s="50"/>
      <c r="B101" s="45"/>
      <c r="C101" s="49"/>
      <c r="D101" s="42"/>
      <c r="E101" s="42"/>
      <c r="F101" s="45"/>
      <c r="G101" s="52"/>
      <c r="H101" s="42"/>
      <c r="I101" s="51"/>
      <c r="J101" s="41"/>
      <c r="K101" s="41"/>
      <c r="L101" s="46"/>
      <c r="M101" s="43"/>
      <c r="N101" s="46"/>
      <c r="O101" s="43"/>
    </row>
    <row r="102" spans="1:15" ht="16" x14ac:dyDescent="0.2">
      <c r="A102" s="50"/>
      <c r="B102" s="45"/>
      <c r="C102" s="49"/>
      <c r="D102" s="42"/>
      <c r="E102" s="42"/>
      <c r="F102" s="45"/>
      <c r="G102" s="52"/>
      <c r="H102" s="42"/>
      <c r="I102" s="51"/>
      <c r="J102" s="41"/>
      <c r="K102" s="41"/>
      <c r="L102" s="46"/>
      <c r="M102" s="43"/>
      <c r="N102" s="46"/>
      <c r="O102" s="43"/>
    </row>
    <row r="103" spans="1:15" ht="16" x14ac:dyDescent="0.2">
      <c r="A103" s="50"/>
      <c r="B103" s="45"/>
      <c r="C103" s="49"/>
      <c r="D103" s="42"/>
      <c r="E103" s="42"/>
      <c r="F103" s="45"/>
      <c r="G103" s="52"/>
      <c r="H103" s="42"/>
      <c r="I103" s="51"/>
      <c r="J103" s="41"/>
      <c r="K103" s="41"/>
      <c r="L103" s="46"/>
      <c r="M103" s="43"/>
      <c r="N103" s="46"/>
      <c r="O103" s="43"/>
    </row>
    <row r="104" spans="1:15" ht="16" x14ac:dyDescent="0.2">
      <c r="A104" s="50"/>
      <c r="B104" s="45"/>
      <c r="C104" s="49"/>
      <c r="D104" s="42"/>
      <c r="E104" s="42"/>
      <c r="F104" s="45"/>
      <c r="G104" s="52"/>
      <c r="H104" s="42"/>
      <c r="I104" s="51"/>
      <c r="J104" s="41"/>
      <c r="K104" s="41"/>
      <c r="L104" s="46"/>
      <c r="M104" s="43"/>
      <c r="N104" s="46"/>
      <c r="O104" s="43"/>
    </row>
    <row r="105" spans="1:15" ht="16" x14ac:dyDescent="0.2">
      <c r="A105" s="50"/>
      <c r="B105" s="45"/>
      <c r="C105" s="49"/>
      <c r="D105" s="42"/>
      <c r="E105" s="42"/>
      <c r="F105" s="45"/>
      <c r="G105" s="52"/>
      <c r="H105" s="42"/>
      <c r="I105" s="51"/>
      <c r="J105" s="41"/>
      <c r="K105" s="41"/>
      <c r="L105" s="46"/>
      <c r="M105" s="43"/>
      <c r="N105" s="46"/>
      <c r="O105" s="43"/>
    </row>
    <row r="106" spans="1:15" ht="17" x14ac:dyDescent="0.15">
      <c r="A106" s="41"/>
      <c r="B106" s="55"/>
      <c r="C106" s="56"/>
      <c r="D106" s="56"/>
      <c r="E106" s="57"/>
      <c r="F106" s="47"/>
      <c r="G106" s="41"/>
      <c r="H106" s="42"/>
      <c r="I106" s="51"/>
      <c r="J106" s="41"/>
      <c r="K106" s="41"/>
      <c r="L106" s="46"/>
      <c r="M106" s="43"/>
      <c r="N106" s="46"/>
      <c r="O106" s="43"/>
    </row>
    <row r="107" spans="1:15" ht="16.5" customHeight="1" x14ac:dyDescent="0.15">
      <c r="A107" s="58"/>
      <c r="B107" s="53"/>
      <c r="C107" s="54"/>
      <c r="D107" s="59"/>
      <c r="E107" s="60"/>
      <c r="F107" s="48"/>
      <c r="G107" s="42"/>
      <c r="H107" s="42"/>
      <c r="I107" s="41"/>
      <c r="J107" s="41"/>
      <c r="K107" s="41"/>
      <c r="L107" s="46"/>
      <c r="M107" s="43"/>
      <c r="N107" s="46"/>
      <c r="O107" s="43"/>
    </row>
    <row r="108" spans="1:15" ht="16.5" customHeight="1" x14ac:dyDescent="0.15">
      <c r="A108" s="58"/>
      <c r="B108" s="53"/>
      <c r="C108" s="54"/>
      <c r="D108" s="59"/>
      <c r="E108" s="60"/>
      <c r="F108" s="48"/>
      <c r="G108" s="42"/>
      <c r="H108" s="42"/>
      <c r="I108" s="41"/>
      <c r="J108" s="41"/>
      <c r="K108" s="41"/>
      <c r="L108" s="46"/>
      <c r="M108" s="43"/>
      <c r="N108" s="46"/>
      <c r="O108" s="43"/>
    </row>
    <row r="109" spans="1:15" ht="16.5" customHeight="1" x14ac:dyDescent="0.15">
      <c r="A109" s="1"/>
      <c r="B109" s="61"/>
      <c r="C109" s="62"/>
      <c r="D109" s="63"/>
      <c r="E109" s="64"/>
      <c r="F109" s="6"/>
      <c r="G109" s="44"/>
      <c r="H109" s="44"/>
      <c r="I109" s="5"/>
      <c r="J109" s="5"/>
      <c r="K109" s="5"/>
      <c r="L109" s="10"/>
      <c r="M109" s="8"/>
      <c r="N109" s="10"/>
      <c r="O109" s="8"/>
    </row>
  </sheetData>
  <autoFilter ref="A4:O88" xr:uid="{00000000-0009-0000-0000-000000000000}">
    <filterColumn colId="14">
      <filters>
        <filter val="40"/>
      </filters>
    </filterColumn>
  </autoFilter>
  <conditionalFormatting sqref="A6:A106">
    <cfRule type="expression" dxfId="1" priority="1">
      <formula>CELL("row")=ROW()</formula>
    </cfRule>
  </conditionalFormatting>
  <conditionalFormatting sqref="L1:M1 H1:H3 A1:F4 G1:G5 I1:K5 N1:O5 L4:M5">
    <cfRule type="expression" dxfId="0" priority="32">
      <formula>CELL("row")=ROW()</formula>
    </cfRule>
  </conditionalFormatting>
  <pageMargins left="0.25" right="0.23" top="0.75" bottom="0.75" header="0" footer="0"/>
  <pageSetup paperSize="8" scale="95" orientation="landscape" r:id="rId1"/>
  <headerFooter>
    <oddFooter>&amp;L                                               Duyệt Lưu:                                      + BP.thi công  + BP. sử dụng  &amp;CKiểm soát &amp;RNgười lập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cp:lastPrinted>2026-09-30T04:20:26Z</cp:lastPrinted>
  <dcterms:created xsi:type="dcterms:W3CDTF">2018-04-12T01:18:31Z</dcterms:created>
  <dcterms:modified xsi:type="dcterms:W3CDTF">2026-10-12T13:25:28Z</dcterms:modified>
</cp:coreProperties>
</file>